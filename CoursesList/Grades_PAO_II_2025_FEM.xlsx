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p\Desktop\Papers\J4 Tutor Socratico\Notas PAO II 2025\"/>
    </mc:Choice>
  </mc:AlternateContent>
  <xr:revisionPtr revIDLastSave="0" documentId="13_ncr:1_{2180B021-AEF9-4E19-AF39-7AE5D953A4D2}" xr6:coauthVersionLast="47" xr6:coauthVersionMax="47" xr10:uidLastSave="{00000000-0000-0000-0000-000000000000}"/>
  <bookViews>
    <workbookView xWindow="-108" yWindow="-108" windowWidth="23256" windowHeight="13896" xr2:uid="{32ECD927-A2E7-4219-8E68-D6FC45AD5483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N2" i="4"/>
  <c r="N4" i="6" l="1"/>
  <c r="N5" i="6"/>
  <c r="N6" i="6"/>
  <c r="N7" i="6"/>
  <c r="N8" i="6"/>
  <c r="N9" i="6"/>
  <c r="N10" i="6"/>
  <c r="N14" i="6"/>
  <c r="N15" i="6"/>
  <c r="N26" i="6"/>
  <c r="N27" i="6"/>
  <c r="N28" i="6"/>
  <c r="N29" i="6"/>
  <c r="N30" i="6"/>
  <c r="N31" i="6"/>
  <c r="N32" i="6"/>
  <c r="N48" i="6"/>
  <c r="N49" i="6"/>
  <c r="N2" i="6"/>
  <c r="N9" i="5"/>
  <c r="N10" i="5"/>
  <c r="N11" i="5"/>
  <c r="N13" i="5"/>
  <c r="N14" i="5"/>
  <c r="N15" i="5"/>
  <c r="N16" i="5"/>
  <c r="N19" i="5"/>
  <c r="N20" i="5"/>
  <c r="N21" i="5"/>
  <c r="N31" i="5"/>
  <c r="N32" i="5"/>
  <c r="N33" i="5"/>
  <c r="N35" i="5"/>
  <c r="N36" i="5"/>
  <c r="N37" i="5"/>
  <c r="N38" i="5"/>
  <c r="N41" i="5"/>
  <c r="N42" i="5"/>
  <c r="N43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M3" i="6"/>
  <c r="N3" i="6" s="1"/>
  <c r="M4" i="6"/>
  <c r="M5" i="6"/>
  <c r="M6" i="6"/>
  <c r="M7" i="6"/>
  <c r="M8" i="6"/>
  <c r="M9" i="6"/>
  <c r="M10" i="6"/>
  <c r="M11" i="6"/>
  <c r="N11" i="6" s="1"/>
  <c r="M12" i="6"/>
  <c r="N12" i="6" s="1"/>
  <c r="M13" i="6"/>
  <c r="N13" i="6" s="1"/>
  <c r="M14" i="6"/>
  <c r="M15" i="6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M27" i="6"/>
  <c r="M28" i="6"/>
  <c r="M29" i="6"/>
  <c r="M30" i="6"/>
  <c r="M31" i="6"/>
  <c r="M32" i="6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M49" i="6"/>
  <c r="M2" i="6"/>
  <c r="M3" i="5"/>
  <c r="N3" i="5" s="1"/>
  <c r="M4" i="5"/>
  <c r="N4" i="5" s="1"/>
  <c r="M5" i="5"/>
  <c r="N5" i="5" s="1"/>
  <c r="M6" i="5"/>
  <c r="N6" i="5" s="1"/>
  <c r="M7" i="5"/>
  <c r="N7" i="5" s="1"/>
  <c r="M8" i="5"/>
  <c r="N8" i="5" s="1"/>
  <c r="M9" i="5"/>
  <c r="M10" i="5"/>
  <c r="M11" i="5"/>
  <c r="M12" i="5"/>
  <c r="N12" i="5" s="1"/>
  <c r="M13" i="5"/>
  <c r="M14" i="5"/>
  <c r="M15" i="5"/>
  <c r="M16" i="5"/>
  <c r="M17" i="5"/>
  <c r="N17" i="5" s="1"/>
  <c r="M18" i="5"/>
  <c r="N18" i="5" s="1"/>
  <c r="M19" i="5"/>
  <c r="M20" i="5"/>
  <c r="M21" i="5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M32" i="5"/>
  <c r="M33" i="5"/>
  <c r="M34" i="5"/>
  <c r="N34" i="5" s="1"/>
  <c r="M35" i="5"/>
  <c r="M36" i="5"/>
  <c r="M37" i="5"/>
  <c r="M38" i="5"/>
  <c r="M39" i="5"/>
  <c r="N39" i="5" s="1"/>
  <c r="M40" i="5"/>
  <c r="N40" i="5" s="1"/>
  <c r="M41" i="5"/>
  <c r="M42" i="5"/>
  <c r="M43" i="5"/>
  <c r="M44" i="5"/>
  <c r="N44" i="5" s="1"/>
  <c r="M45" i="5"/>
  <c r="N45" i="5" s="1"/>
  <c r="M46" i="5"/>
  <c r="N46" i="5" s="1"/>
  <c r="M47" i="5"/>
  <c r="N47" i="5" s="1"/>
  <c r="M48" i="5"/>
  <c r="N48" i="5" s="1"/>
  <c r="M49" i="5"/>
  <c r="N49" i="5" s="1"/>
  <c r="M2" i="5"/>
  <c r="N2" i="5" s="1"/>
  <c r="N3" i="3"/>
  <c r="N4" i="3"/>
  <c r="N5" i="3"/>
  <c r="N24" i="3"/>
  <c r="N25" i="3"/>
  <c r="N26" i="3"/>
  <c r="N27" i="3"/>
  <c r="N46" i="3"/>
  <c r="N47" i="3"/>
  <c r="N48" i="3"/>
  <c r="N49" i="3"/>
  <c r="M3" i="3"/>
  <c r="M4" i="3"/>
  <c r="M5" i="3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M25" i="3"/>
  <c r="M26" i="3"/>
  <c r="M27" i="3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M47" i="3"/>
  <c r="M48" i="3"/>
  <c r="M49" i="3"/>
  <c r="M2" i="3"/>
  <c r="N2" i="3" s="1"/>
  <c r="M3" i="2" l="1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2" i="2"/>
  <c r="N2" i="2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2" i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</calcChain>
</file>

<file path=xl/sharedStrings.xml><?xml version="1.0" encoding="utf-8"?>
<sst xmlns="http://schemas.openxmlformats.org/spreadsheetml/2006/main" count="371" uniqueCount="301">
  <si>
    <t>codigo</t>
  </si>
  <si>
    <t>RDP individual 1</t>
  </si>
  <si>
    <t>p01-001</t>
  </si>
  <si>
    <t>p01-002</t>
  </si>
  <si>
    <t>p01-003</t>
  </si>
  <si>
    <t>p01-004</t>
  </si>
  <si>
    <t>p01-005</t>
  </si>
  <si>
    <t>p01-006</t>
  </si>
  <si>
    <t>p01-007</t>
  </si>
  <si>
    <t>p01-008</t>
  </si>
  <si>
    <t>p01-009</t>
  </si>
  <si>
    <t>p01-010</t>
  </si>
  <si>
    <t>p01-011</t>
  </si>
  <si>
    <t>p01-012</t>
  </si>
  <si>
    <t>p01-013</t>
  </si>
  <si>
    <t>p01-014</t>
  </si>
  <si>
    <t>p01-015</t>
  </si>
  <si>
    <t>p01-016</t>
  </si>
  <si>
    <t>p01-017</t>
  </si>
  <si>
    <t>p01-018</t>
  </si>
  <si>
    <t>p01-019</t>
  </si>
  <si>
    <t>p01-020</t>
  </si>
  <si>
    <t>p01-021</t>
  </si>
  <si>
    <t>p01-022</t>
  </si>
  <si>
    <t>p01-023</t>
  </si>
  <si>
    <t>p01-024</t>
  </si>
  <si>
    <t>p01-025</t>
  </si>
  <si>
    <t>p01-026</t>
  </si>
  <si>
    <t>p01-027</t>
  </si>
  <si>
    <t>p01-028</t>
  </si>
  <si>
    <t>p01-029</t>
  </si>
  <si>
    <t>p01-030</t>
  </si>
  <si>
    <t>p01-031</t>
  </si>
  <si>
    <t>p01-032</t>
  </si>
  <si>
    <t>p01-033</t>
  </si>
  <si>
    <t>p01-034</t>
  </si>
  <si>
    <t>p01-035</t>
  </si>
  <si>
    <t>p01-036</t>
  </si>
  <si>
    <t>p01-037</t>
  </si>
  <si>
    <t>p01-038</t>
  </si>
  <si>
    <t>p01-039</t>
  </si>
  <si>
    <t>p01-040</t>
  </si>
  <si>
    <t>p01-041</t>
  </si>
  <si>
    <t>p01-042</t>
  </si>
  <si>
    <t>p01-043</t>
  </si>
  <si>
    <t>p01-044</t>
  </si>
  <si>
    <t>p01-045</t>
  </si>
  <si>
    <t>p01-046</t>
  </si>
  <si>
    <t>p01-047</t>
  </si>
  <si>
    <t>p01-048</t>
  </si>
  <si>
    <t>p01-049</t>
  </si>
  <si>
    <t>p01-050</t>
  </si>
  <si>
    <t>p01-051</t>
  </si>
  <si>
    <t>PS1</t>
  </si>
  <si>
    <t>EX1</t>
  </si>
  <si>
    <t>Parcial 1</t>
  </si>
  <si>
    <t>RDP Individual 2</t>
  </si>
  <si>
    <t>PS2</t>
  </si>
  <si>
    <t>EX2</t>
  </si>
  <si>
    <t>Parcial 2</t>
  </si>
  <si>
    <t>Práctico</t>
  </si>
  <si>
    <t>p02-001</t>
  </si>
  <si>
    <t>p02-002</t>
  </si>
  <si>
    <t>p02-003</t>
  </si>
  <si>
    <t>p02-004</t>
  </si>
  <si>
    <t>p02-005</t>
  </si>
  <si>
    <t>p02-006</t>
  </si>
  <si>
    <t>p02-007</t>
  </si>
  <si>
    <t>p02-008</t>
  </si>
  <si>
    <t>p02-009</t>
  </si>
  <si>
    <t>p02-010</t>
  </si>
  <si>
    <t>p02-011</t>
  </si>
  <si>
    <t>p02-012</t>
  </si>
  <si>
    <t>p02-013</t>
  </si>
  <si>
    <t>p02-014</t>
  </si>
  <si>
    <t>p02-015</t>
  </si>
  <si>
    <t>p02-016</t>
  </si>
  <si>
    <t>p02-017</t>
  </si>
  <si>
    <t>p02-018</t>
  </si>
  <si>
    <t>p02-019</t>
  </si>
  <si>
    <t>p02-020</t>
  </si>
  <si>
    <t>p02-021</t>
  </si>
  <si>
    <t>p02-022</t>
  </si>
  <si>
    <t>p02-023</t>
  </si>
  <si>
    <t>p02-024</t>
  </si>
  <si>
    <t>p02-025</t>
  </si>
  <si>
    <t>p02-026</t>
  </si>
  <si>
    <t>p02-027</t>
  </si>
  <si>
    <t>p02-028</t>
  </si>
  <si>
    <t>p02-029</t>
  </si>
  <si>
    <t>p02-030</t>
  </si>
  <si>
    <t>p02-031</t>
  </si>
  <si>
    <t>p02-032</t>
  </si>
  <si>
    <t>p02-033</t>
  </si>
  <si>
    <t>p02-034</t>
  </si>
  <si>
    <t>p02-035</t>
  </si>
  <si>
    <t>p02-036</t>
  </si>
  <si>
    <t>p02-037</t>
  </si>
  <si>
    <t>p02-038</t>
  </si>
  <si>
    <t>p02-039</t>
  </si>
  <si>
    <t>p02-040</t>
  </si>
  <si>
    <t>p02-041</t>
  </si>
  <si>
    <t>p02-042</t>
  </si>
  <si>
    <t>p03-001</t>
  </si>
  <si>
    <t>p03-002</t>
  </si>
  <si>
    <t>p03-003</t>
  </si>
  <si>
    <t>p03-004</t>
  </si>
  <si>
    <t>p03-005</t>
  </si>
  <si>
    <t>p03-006</t>
  </si>
  <si>
    <t>p03-007</t>
  </si>
  <si>
    <t>p03-008</t>
  </si>
  <si>
    <t>p03-009</t>
  </si>
  <si>
    <t>p03-010</t>
  </si>
  <si>
    <t>p03-011</t>
  </si>
  <si>
    <t>p03-012</t>
  </si>
  <si>
    <t>p03-013</t>
  </si>
  <si>
    <t>p03-014</t>
  </si>
  <si>
    <t>p03-015</t>
  </si>
  <si>
    <t>p03-016</t>
  </si>
  <si>
    <t>p03-017</t>
  </si>
  <si>
    <t>p03-018</t>
  </si>
  <si>
    <t>p03-019</t>
  </si>
  <si>
    <t>p03-020</t>
  </si>
  <si>
    <t>p03-021</t>
  </si>
  <si>
    <t>p03-022</t>
  </si>
  <si>
    <t>p03-023</t>
  </si>
  <si>
    <t>p03-024</t>
  </si>
  <si>
    <t>p03-025</t>
  </si>
  <si>
    <t>p03-026</t>
  </si>
  <si>
    <t>p03-027</t>
  </si>
  <si>
    <t>p03-028</t>
  </si>
  <si>
    <t>p03-029</t>
  </si>
  <si>
    <t>p03-030</t>
  </si>
  <si>
    <t>p03-031</t>
  </si>
  <si>
    <t>p03-032</t>
  </si>
  <si>
    <t>p03-033</t>
  </si>
  <si>
    <t>p03-034</t>
  </si>
  <si>
    <t>p03-035</t>
  </si>
  <si>
    <t>p03-036</t>
  </si>
  <si>
    <t>p03-037</t>
  </si>
  <si>
    <t>p03-038</t>
  </si>
  <si>
    <t>p03-039</t>
  </si>
  <si>
    <t>p03-040</t>
  </si>
  <si>
    <t>p03-041</t>
  </si>
  <si>
    <t>p03-042</t>
  </si>
  <si>
    <t>p03-043</t>
  </si>
  <si>
    <t>p03-044</t>
  </si>
  <si>
    <t>p03-045</t>
  </si>
  <si>
    <t>p03-046</t>
  </si>
  <si>
    <t>p03-047</t>
  </si>
  <si>
    <t>p03-048</t>
  </si>
  <si>
    <t>p04-001</t>
  </si>
  <si>
    <t>p04-002</t>
  </si>
  <si>
    <t>p04-003</t>
  </si>
  <si>
    <t>p04-004</t>
  </si>
  <si>
    <t>p04-005</t>
  </si>
  <si>
    <t>p04-006</t>
  </si>
  <si>
    <t>p04-007</t>
  </si>
  <si>
    <t>p04-008</t>
  </si>
  <si>
    <t>p04-009</t>
  </si>
  <si>
    <t>p04-010</t>
  </si>
  <si>
    <t>p04-011</t>
  </si>
  <si>
    <t>p04-012</t>
  </si>
  <si>
    <t>p04-013</t>
  </si>
  <si>
    <t>p04-014</t>
  </si>
  <si>
    <t>p04-015</t>
  </si>
  <si>
    <t>p04-016</t>
  </si>
  <si>
    <t>p04-017</t>
  </si>
  <si>
    <t>p04-018</t>
  </si>
  <si>
    <t>p04-019</t>
  </si>
  <si>
    <t>p04-020</t>
  </si>
  <si>
    <t>p04-021</t>
  </si>
  <si>
    <t>p04-022</t>
  </si>
  <si>
    <t>p04-023</t>
  </si>
  <si>
    <t>p04-024</t>
  </si>
  <si>
    <t>p04-025</t>
  </si>
  <si>
    <t>p04-026</t>
  </si>
  <si>
    <t>p04-027</t>
  </si>
  <si>
    <t>p04-028</t>
  </si>
  <si>
    <t>p04-029</t>
  </si>
  <si>
    <t>p04-030</t>
  </si>
  <si>
    <t>p04-031</t>
  </si>
  <si>
    <t>p04-032</t>
  </si>
  <si>
    <t>p04-033</t>
  </si>
  <si>
    <t>p04-034</t>
  </si>
  <si>
    <t>p04-035</t>
  </si>
  <si>
    <t>p04-036</t>
  </si>
  <si>
    <t>p04-037</t>
  </si>
  <si>
    <t>p04-038</t>
  </si>
  <si>
    <t>p04-039</t>
  </si>
  <si>
    <t>p04-040</t>
  </si>
  <si>
    <t>p04-041</t>
  </si>
  <si>
    <t>p04-042</t>
  </si>
  <si>
    <t>p04-043</t>
  </si>
  <si>
    <t>p04-044</t>
  </si>
  <si>
    <t>p04-045</t>
  </si>
  <si>
    <t>p04-046</t>
  </si>
  <si>
    <t>p04-047</t>
  </si>
  <si>
    <t>p04-048</t>
  </si>
  <si>
    <t>p04-049</t>
  </si>
  <si>
    <t>p04-050</t>
  </si>
  <si>
    <t>p05-001</t>
  </si>
  <si>
    <t>p05-002</t>
  </si>
  <si>
    <t>p05-003</t>
  </si>
  <si>
    <t>p05-004</t>
  </si>
  <si>
    <t>p05-005</t>
  </si>
  <si>
    <t>p05-006</t>
  </si>
  <si>
    <t>p05-007</t>
  </si>
  <si>
    <t>p05-008</t>
  </si>
  <si>
    <t>p05-009</t>
  </si>
  <si>
    <t>p05-010</t>
  </si>
  <si>
    <t>p05-011</t>
  </si>
  <si>
    <t>p05-012</t>
  </si>
  <si>
    <t>p05-013</t>
  </si>
  <si>
    <t>p05-014</t>
  </si>
  <si>
    <t>p05-015</t>
  </si>
  <si>
    <t>p05-016</t>
  </si>
  <si>
    <t>p05-017</t>
  </si>
  <si>
    <t>p05-018</t>
  </si>
  <si>
    <t>p05-019</t>
  </si>
  <si>
    <t>p05-020</t>
  </si>
  <si>
    <t>p05-021</t>
  </si>
  <si>
    <t>p05-022</t>
  </si>
  <si>
    <t>p05-023</t>
  </si>
  <si>
    <t>p05-024</t>
  </si>
  <si>
    <t>p05-025</t>
  </si>
  <si>
    <t>p05-026</t>
  </si>
  <si>
    <t>p05-027</t>
  </si>
  <si>
    <t>p05-028</t>
  </si>
  <si>
    <t>p05-029</t>
  </si>
  <si>
    <t>p05-030</t>
  </si>
  <si>
    <t>p05-031</t>
  </si>
  <si>
    <t>p05-032</t>
  </si>
  <si>
    <t>p05-033</t>
  </si>
  <si>
    <t>p05-034</t>
  </si>
  <si>
    <t>p05-035</t>
  </si>
  <si>
    <t>p05-036</t>
  </si>
  <si>
    <t>p05-037</t>
  </si>
  <si>
    <t>p05-038</t>
  </si>
  <si>
    <t>p05-039</t>
  </si>
  <si>
    <t>p05-040</t>
  </si>
  <si>
    <t>p05-041</t>
  </si>
  <si>
    <t>p05-042</t>
  </si>
  <si>
    <t>p05-043</t>
  </si>
  <si>
    <t>p05-044</t>
  </si>
  <si>
    <t>p05-045</t>
  </si>
  <si>
    <t>p05-046</t>
  </si>
  <si>
    <t>p05-047</t>
  </si>
  <si>
    <t>p05-048</t>
  </si>
  <si>
    <t>p06-001</t>
  </si>
  <si>
    <t>p06-002</t>
  </si>
  <si>
    <t>p06-003</t>
  </si>
  <si>
    <t>p06-004</t>
  </si>
  <si>
    <t>p06-005</t>
  </si>
  <si>
    <t>p06-006</t>
  </si>
  <si>
    <t>p06-007</t>
  </si>
  <si>
    <t>p06-008</t>
  </si>
  <si>
    <t>p06-009</t>
  </si>
  <si>
    <t>p06-010</t>
  </si>
  <si>
    <t>p06-011</t>
  </si>
  <si>
    <t>p06-012</t>
  </si>
  <si>
    <t>p06-013</t>
  </si>
  <si>
    <t>p06-014</t>
  </si>
  <si>
    <t>p06-015</t>
  </si>
  <si>
    <t>p06-016</t>
  </si>
  <si>
    <t>p06-017</t>
  </si>
  <si>
    <t>p06-018</t>
  </si>
  <si>
    <t>p06-019</t>
  </si>
  <si>
    <t>p06-020</t>
  </si>
  <si>
    <t>p06-021</t>
  </si>
  <si>
    <t>p06-022</t>
  </si>
  <si>
    <t>p06-023</t>
  </si>
  <si>
    <t>p06-024</t>
  </si>
  <si>
    <t>p06-025</t>
  </si>
  <si>
    <t>p06-026</t>
  </si>
  <si>
    <t>p06-027</t>
  </si>
  <si>
    <t>p06-028</t>
  </si>
  <si>
    <t>p06-029</t>
  </si>
  <si>
    <t>p06-030</t>
  </si>
  <si>
    <t>p06-031</t>
  </si>
  <si>
    <t>p06-032</t>
  </si>
  <si>
    <t>p06-033</t>
  </si>
  <si>
    <t>p06-034</t>
  </si>
  <si>
    <t>p06-035</t>
  </si>
  <si>
    <t>p06-036</t>
  </si>
  <si>
    <t>p06-037</t>
  </si>
  <si>
    <t>p06-038</t>
  </si>
  <si>
    <t>p06-039</t>
  </si>
  <si>
    <t>p06-040</t>
  </si>
  <si>
    <t>p06-041</t>
  </si>
  <si>
    <t>p06-042</t>
  </si>
  <si>
    <t>p06-043</t>
  </si>
  <si>
    <t>p06-044</t>
  </si>
  <si>
    <t>p06-045</t>
  </si>
  <si>
    <t>p06-046</t>
  </si>
  <si>
    <t>p06-047</t>
  </si>
  <si>
    <t>p06-048</t>
  </si>
  <si>
    <t>FINAL</t>
  </si>
  <si>
    <t>tercer examen</t>
  </si>
  <si>
    <t>FINAL CON 3er Examen</t>
  </si>
  <si>
    <t>Situacion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</si>
</sst>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928A-C7F0-4796-BECC-A9961919393E}">
  <dimension ref="A1:N52"/>
  <sheetViews>
    <sheetView tabSelected="1" topLeftCell="A21" zoomScale="82" workbookViewId="0">
      <selection activeCell="N53" sqref="N53"/>
    </sheetView>
  </sheetViews>
  <sheetFormatPr defaultRowHeight="14.4" x14ac:dyDescent="0.3"/>
  <cols>
    <col min="3" max="3" width="10.44140625" bestFit="1" customWidth="1"/>
  </cols>
  <sheetData>
    <row r="1" spans="1:14" ht="43.2" x14ac:dyDescent="0.3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297</v>
      </c>
      <c r="L1" s="2" t="s">
        <v>298</v>
      </c>
      <c r="M1" s="2" t="s">
        <v>299</v>
      </c>
      <c r="N1" s="2" t="s">
        <v>300</v>
      </c>
    </row>
    <row r="2" spans="1:14" x14ac:dyDescent="0.3">
      <c r="A2" t="s">
        <v>2</v>
      </c>
      <c r="B2" s="1">
        <v>7.0200000000000005</v>
      </c>
      <c r="C2" s="1">
        <v>14.666666666666666</v>
      </c>
      <c r="D2" s="1">
        <v>24</v>
      </c>
      <c r="E2" s="1">
        <v>68.286666666666662</v>
      </c>
      <c r="F2" s="1">
        <v>9.6545270310000006</v>
      </c>
      <c r="G2" s="1">
        <v>16.666666666666668</v>
      </c>
      <c r="H2" s="1">
        <v>23</v>
      </c>
      <c r="I2" s="1">
        <v>71.242467097666662</v>
      </c>
      <c r="J2">
        <v>39</v>
      </c>
      <c r="K2" s="1">
        <f>(0.3*J2)+((E2+I2)*0.35)</f>
        <v>60.535196817516663</v>
      </c>
      <c r="L2">
        <v>75</v>
      </c>
      <c r="M2" s="1">
        <f>(0.7*(SUM(E2,I2,L2)-MIN(E2,I2,L2))/2)+(0.3*J2)</f>
        <v>62.884863484183327</v>
      </c>
      <c r="N2" t="str">
        <f>IF(M2&gt;59.5,"AP","RP")</f>
        <v>AP</v>
      </c>
    </row>
    <row r="3" spans="1:14" x14ac:dyDescent="0.3">
      <c r="A3" t="s">
        <v>3</v>
      </c>
      <c r="B3" s="1">
        <v>2.91</v>
      </c>
      <c r="C3" s="1">
        <v>1.3333333333333333</v>
      </c>
      <c r="D3" s="1">
        <v>0</v>
      </c>
      <c r="E3" s="1">
        <v>14.943333333333333</v>
      </c>
      <c r="F3" s="1">
        <v>4.6210000000000004</v>
      </c>
      <c r="G3" s="1">
        <v>0</v>
      </c>
      <c r="H3" s="1">
        <v>0</v>
      </c>
      <c r="I3" s="1">
        <v>7.6210000000000004</v>
      </c>
      <c r="J3">
        <v>23</v>
      </c>
      <c r="K3" s="1">
        <f t="shared" ref="K3:K52" si="0">(0.3*J3)+((E3+I3)*0.35)</f>
        <v>14.797516666666667</v>
      </c>
      <c r="L3">
        <v>0</v>
      </c>
      <c r="M3" s="1">
        <f t="shared" ref="M3:M52" si="1">(0.7*(SUM(E3,I3,L3)-MIN(E3,I3,L3))/2)+(0.3*J3)</f>
        <v>14.797516666666667</v>
      </c>
      <c r="N3" t="str">
        <f t="shared" ref="N3:N52" si="2">IF(M3&gt;59.5,"AP","RP")</f>
        <v>RP</v>
      </c>
    </row>
    <row r="4" spans="1:14" x14ac:dyDescent="0.3">
      <c r="A4" t="s">
        <v>4</v>
      </c>
      <c r="B4" s="1">
        <v>4.05</v>
      </c>
      <c r="C4" s="1">
        <v>10.333333333333334</v>
      </c>
      <c r="D4" s="1">
        <v>26</v>
      </c>
      <c r="E4" s="1">
        <v>54.583333333333336</v>
      </c>
      <c r="F4" s="1">
        <v>9.4269807024799999</v>
      </c>
      <c r="G4" s="1">
        <v>6.666666666666667</v>
      </c>
      <c r="H4" s="1">
        <v>22</v>
      </c>
      <c r="I4" s="1">
        <v>60.900366260346665</v>
      </c>
      <c r="J4">
        <v>49</v>
      </c>
      <c r="K4" s="1">
        <f t="shared" si="0"/>
        <v>55.119294857787992</v>
      </c>
      <c r="L4">
        <v>42</v>
      </c>
      <c r="M4" s="1">
        <f t="shared" si="1"/>
        <v>55.119294857787992</v>
      </c>
      <c r="N4" t="str">
        <f t="shared" si="2"/>
        <v>RP</v>
      </c>
    </row>
    <row r="5" spans="1:14" x14ac:dyDescent="0.3">
      <c r="A5" t="s">
        <v>5</v>
      </c>
      <c r="B5" s="1">
        <v>5.6734466139000004</v>
      </c>
      <c r="C5" s="1">
        <v>2</v>
      </c>
      <c r="D5" s="1">
        <v>0</v>
      </c>
      <c r="E5" s="1">
        <v>18.0521561274</v>
      </c>
      <c r="F5" s="1">
        <v>4.6210000000000004</v>
      </c>
      <c r="G5" s="1">
        <v>0</v>
      </c>
      <c r="H5" s="1">
        <v>0</v>
      </c>
      <c r="I5" s="1">
        <v>7.6210000000000004</v>
      </c>
      <c r="J5">
        <v>36</v>
      </c>
      <c r="K5" s="1">
        <f t="shared" si="0"/>
        <v>19.785604644589998</v>
      </c>
      <c r="L5">
        <v>0</v>
      </c>
      <c r="M5" s="1">
        <f t="shared" si="1"/>
        <v>19.785604644589998</v>
      </c>
      <c r="N5" t="str">
        <f t="shared" si="2"/>
        <v>RP</v>
      </c>
    </row>
    <row r="6" spans="1:14" x14ac:dyDescent="0.3">
      <c r="A6" t="s">
        <v>6</v>
      </c>
      <c r="B6" s="1">
        <v>8.3700434344000012</v>
      </c>
      <c r="C6" s="1">
        <v>8.6666666666666661</v>
      </c>
      <c r="D6" s="1">
        <v>13</v>
      </c>
      <c r="E6" s="1">
        <v>49.685973019466665</v>
      </c>
      <c r="F6" s="1">
        <v>4.63</v>
      </c>
      <c r="G6" s="1">
        <v>8.3333333333333339</v>
      </c>
      <c r="H6" s="1">
        <v>0</v>
      </c>
      <c r="I6" s="1">
        <v>29.238333333333337</v>
      </c>
      <c r="J6">
        <v>39</v>
      </c>
      <c r="K6" s="1">
        <f t="shared" si="0"/>
        <v>39.32350722348</v>
      </c>
      <c r="L6">
        <v>0</v>
      </c>
      <c r="M6" s="1">
        <f t="shared" si="1"/>
        <v>39.32350722348</v>
      </c>
      <c r="N6" t="str">
        <f t="shared" si="2"/>
        <v>RP</v>
      </c>
    </row>
    <row r="7" spans="1:14" x14ac:dyDescent="0.3">
      <c r="A7" t="s">
        <v>7</v>
      </c>
      <c r="B7" s="1">
        <v>7.5186193732919993</v>
      </c>
      <c r="C7" s="1">
        <v>8</v>
      </c>
      <c r="D7" s="1">
        <v>21</v>
      </c>
      <c r="E7" s="1">
        <v>57.069805250192005</v>
      </c>
      <c r="F7" s="1">
        <v>9.1969633881600004</v>
      </c>
      <c r="G7" s="1">
        <v>4.666666666666667</v>
      </c>
      <c r="H7" s="1">
        <v>19</v>
      </c>
      <c r="I7" s="1">
        <v>59.325024432426666</v>
      </c>
      <c r="J7">
        <v>78</v>
      </c>
      <c r="K7" s="1">
        <f t="shared" si="0"/>
        <v>64.138190388916541</v>
      </c>
      <c r="L7">
        <v>0</v>
      </c>
      <c r="M7" s="1">
        <f t="shared" si="1"/>
        <v>64.138190388916541</v>
      </c>
      <c r="N7" t="str">
        <f t="shared" si="2"/>
        <v>AP</v>
      </c>
    </row>
    <row r="8" spans="1:14" x14ac:dyDescent="0.3">
      <c r="A8" t="s">
        <v>8</v>
      </c>
      <c r="B8" s="1">
        <v>8.92</v>
      </c>
      <c r="C8" s="1">
        <v>12.333333333333334</v>
      </c>
      <c r="D8" s="1">
        <v>21</v>
      </c>
      <c r="E8" s="1">
        <v>64.403333333333336</v>
      </c>
      <c r="F8" s="1">
        <v>9.3923630224000014</v>
      </c>
      <c r="G8" s="1">
        <v>9</v>
      </c>
      <c r="H8" s="1">
        <v>19</v>
      </c>
      <c r="I8" s="1">
        <v>64.001761252400001</v>
      </c>
      <c r="J8">
        <v>70</v>
      </c>
      <c r="K8" s="1">
        <f t="shared" si="0"/>
        <v>65.941783105006664</v>
      </c>
      <c r="L8">
        <v>0</v>
      </c>
      <c r="M8" s="1">
        <f t="shared" si="1"/>
        <v>65.941783105006664</v>
      </c>
      <c r="N8" t="str">
        <f t="shared" si="2"/>
        <v>AP</v>
      </c>
    </row>
    <row r="9" spans="1:14" x14ac:dyDescent="0.3">
      <c r="A9" t="s">
        <v>9</v>
      </c>
      <c r="B9" s="1">
        <v>7.0431116446679995</v>
      </c>
      <c r="C9" s="1">
        <v>15.333333333333334</v>
      </c>
      <c r="D9" s="1">
        <v>27</v>
      </c>
      <c r="E9" s="1">
        <v>71.801193299301332</v>
      </c>
      <c r="F9" s="1">
        <v>9.1969633881600004</v>
      </c>
      <c r="G9" s="1">
        <v>13</v>
      </c>
      <c r="H9" s="1">
        <v>26</v>
      </c>
      <c r="I9" s="1">
        <v>71.999918797760003</v>
      </c>
      <c r="J9">
        <v>73</v>
      </c>
      <c r="K9" s="1">
        <f t="shared" si="0"/>
        <v>72.230389233971465</v>
      </c>
      <c r="L9">
        <v>0</v>
      </c>
      <c r="M9" s="1">
        <f t="shared" si="1"/>
        <v>72.230389233971465</v>
      </c>
      <c r="N9" t="str">
        <f t="shared" si="2"/>
        <v>AP</v>
      </c>
    </row>
    <row r="10" spans="1:14" x14ac:dyDescent="0.3">
      <c r="A10" t="s">
        <v>10</v>
      </c>
      <c r="B10" s="1">
        <v>3.95</v>
      </c>
      <c r="C10" s="1">
        <v>9.6666666666666661</v>
      </c>
      <c r="D10" s="1">
        <v>26</v>
      </c>
      <c r="E10" s="1">
        <v>50.95066666666667</v>
      </c>
      <c r="F10" s="1">
        <v>9.5909404859399991</v>
      </c>
      <c r="G10" s="1">
        <v>13</v>
      </c>
      <c r="H10" s="1">
        <v>22</v>
      </c>
      <c r="I10" s="1">
        <v>65.909806651739999</v>
      </c>
      <c r="J10">
        <v>72</v>
      </c>
      <c r="K10" s="1">
        <f t="shared" si="0"/>
        <v>62.501165661442329</v>
      </c>
      <c r="L10">
        <v>0</v>
      </c>
      <c r="M10" s="1">
        <f t="shared" si="1"/>
        <v>62.501165661442329</v>
      </c>
      <c r="N10" t="str">
        <f t="shared" si="2"/>
        <v>AP</v>
      </c>
    </row>
    <row r="11" spans="1:14" x14ac:dyDescent="0.3">
      <c r="A11" t="s">
        <v>11</v>
      </c>
      <c r="B11" s="1">
        <v>8.4320234023340017</v>
      </c>
      <c r="C11" s="1">
        <v>3.3333333333333335</v>
      </c>
      <c r="D11" s="1">
        <v>23</v>
      </c>
      <c r="E11" s="1">
        <v>58.356740485967336</v>
      </c>
      <c r="F11" s="1">
        <v>9.8375828278399986</v>
      </c>
      <c r="G11" s="1">
        <v>11.666666666666666</v>
      </c>
      <c r="H11" s="1">
        <v>26</v>
      </c>
      <c r="I11" s="1">
        <v>72.099661331306663</v>
      </c>
      <c r="J11">
        <v>81</v>
      </c>
      <c r="K11" s="1">
        <f t="shared" si="0"/>
        <v>69.959740636045908</v>
      </c>
      <c r="L11">
        <v>0</v>
      </c>
      <c r="M11" s="1">
        <f t="shared" si="1"/>
        <v>69.959740636045908</v>
      </c>
      <c r="N11" t="str">
        <f t="shared" si="2"/>
        <v>AP</v>
      </c>
    </row>
    <row r="12" spans="1:14" x14ac:dyDescent="0.3">
      <c r="A12" t="s">
        <v>12</v>
      </c>
      <c r="B12" s="1">
        <v>8.879999999999999</v>
      </c>
      <c r="C12" s="1">
        <v>14.333333333333334</v>
      </c>
      <c r="D12" s="1">
        <v>22</v>
      </c>
      <c r="E12" s="1">
        <v>71.263333333333335</v>
      </c>
      <c r="F12" s="1">
        <v>9.5</v>
      </c>
      <c r="G12" s="1">
        <v>14</v>
      </c>
      <c r="H12" s="1">
        <v>23</v>
      </c>
      <c r="I12" s="1">
        <v>69.400000000000006</v>
      </c>
      <c r="J12">
        <v>51</v>
      </c>
      <c r="K12" s="1">
        <f t="shared" si="0"/>
        <v>64.532166666666669</v>
      </c>
      <c r="L12">
        <v>0</v>
      </c>
      <c r="M12" s="1">
        <f t="shared" si="1"/>
        <v>64.532166666666669</v>
      </c>
      <c r="N12" t="str">
        <f t="shared" si="2"/>
        <v>AP</v>
      </c>
    </row>
    <row r="13" spans="1:14" x14ac:dyDescent="0.3">
      <c r="A13" t="s">
        <v>13</v>
      </c>
      <c r="B13" s="1">
        <v>7.2959999999999994</v>
      </c>
      <c r="C13" s="1">
        <v>8</v>
      </c>
      <c r="D13" s="1">
        <v>10</v>
      </c>
      <c r="E13" s="1">
        <v>38.346000000000004</v>
      </c>
      <c r="F13" s="1">
        <v>9.1199999999999992</v>
      </c>
      <c r="G13" s="1">
        <v>2.6666666666666665</v>
      </c>
      <c r="H13" s="1">
        <v>0</v>
      </c>
      <c r="I13" s="1">
        <v>28.761666666666667</v>
      </c>
      <c r="J13">
        <v>40</v>
      </c>
      <c r="K13" s="1">
        <f t="shared" si="0"/>
        <v>35.487683333333337</v>
      </c>
      <c r="L13">
        <v>0</v>
      </c>
      <c r="M13" s="1">
        <f t="shared" si="1"/>
        <v>35.487683333333337</v>
      </c>
      <c r="N13" t="str">
        <f t="shared" si="2"/>
        <v>RP</v>
      </c>
    </row>
    <row r="14" spans="1:14" x14ac:dyDescent="0.3">
      <c r="A14" t="s">
        <v>14</v>
      </c>
      <c r="B14" s="1">
        <v>8.879999999999999</v>
      </c>
      <c r="C14" s="1">
        <v>11</v>
      </c>
      <c r="D14" s="1">
        <v>21</v>
      </c>
      <c r="E14" s="1">
        <v>64.83</v>
      </c>
      <c r="F14" s="1">
        <v>9.450391304</v>
      </c>
      <c r="G14" s="1">
        <v>19</v>
      </c>
      <c r="H14" s="1">
        <v>23</v>
      </c>
      <c r="I14" s="1">
        <v>71.802349198400009</v>
      </c>
      <c r="J14">
        <v>58</v>
      </c>
      <c r="K14" s="1">
        <f t="shared" si="0"/>
        <v>65.221322219439998</v>
      </c>
      <c r="L14">
        <v>0</v>
      </c>
      <c r="M14" s="1">
        <f t="shared" si="1"/>
        <v>65.221322219439998</v>
      </c>
      <c r="N14" t="str">
        <f t="shared" si="2"/>
        <v>AP</v>
      </c>
    </row>
    <row r="15" spans="1:14" x14ac:dyDescent="0.3">
      <c r="A15" t="s">
        <v>15</v>
      </c>
      <c r="B15" s="1">
        <v>8.414403494490001</v>
      </c>
      <c r="C15" s="1">
        <v>4.333333333333333</v>
      </c>
      <c r="D15" s="1">
        <v>12</v>
      </c>
      <c r="E15" s="1">
        <v>45.94707404392333</v>
      </c>
      <c r="F15" s="1">
        <v>8.9383551778159998</v>
      </c>
      <c r="G15" s="1">
        <v>6</v>
      </c>
      <c r="H15" s="1">
        <v>9</v>
      </c>
      <c r="I15" s="1">
        <v>44.472534556615997</v>
      </c>
      <c r="J15">
        <v>38</v>
      </c>
      <c r="K15" s="1">
        <f t="shared" si="0"/>
        <v>43.046863010188765</v>
      </c>
      <c r="L15">
        <v>0</v>
      </c>
      <c r="M15" s="1">
        <f t="shared" si="1"/>
        <v>43.046863010188765</v>
      </c>
      <c r="N15" t="str">
        <f t="shared" si="2"/>
        <v>RP</v>
      </c>
    </row>
    <row r="16" spans="1:14" x14ac:dyDescent="0.3">
      <c r="A16" t="s">
        <v>16</v>
      </c>
      <c r="B16" s="1">
        <v>7.0747730567999998</v>
      </c>
      <c r="C16" s="1">
        <v>7</v>
      </c>
      <c r="D16" s="1">
        <v>14</v>
      </c>
      <c r="E16" s="1">
        <v>50.159543062300003</v>
      </c>
      <c r="F16" s="1">
        <v>9.7533022790399997</v>
      </c>
      <c r="G16" s="1">
        <v>9.6666666666666661</v>
      </c>
      <c r="H16" s="1">
        <v>17</v>
      </c>
      <c r="I16" s="1">
        <v>58.931861505706664</v>
      </c>
      <c r="J16">
        <v>64</v>
      </c>
      <c r="K16" s="1">
        <f t="shared" si="0"/>
        <v>57.38199159880233</v>
      </c>
      <c r="L16">
        <v>47</v>
      </c>
      <c r="M16" s="1">
        <f t="shared" si="1"/>
        <v>57.38199159880233</v>
      </c>
      <c r="N16" t="str">
        <f t="shared" si="2"/>
        <v>RP</v>
      </c>
    </row>
    <row r="17" spans="1:14" x14ac:dyDescent="0.3">
      <c r="A17" t="s">
        <v>17</v>
      </c>
      <c r="B17" s="1">
        <v>8.2609070621999994</v>
      </c>
      <c r="C17" s="1">
        <v>4.333333333333333</v>
      </c>
      <c r="D17" s="1">
        <v>9</v>
      </c>
      <c r="E17" s="1">
        <v>42.337874366333331</v>
      </c>
      <c r="F17" s="1">
        <v>9.0389254865000002</v>
      </c>
      <c r="G17" s="1">
        <v>6</v>
      </c>
      <c r="H17" s="1">
        <v>10</v>
      </c>
      <c r="I17" s="1">
        <v>49.7057030725</v>
      </c>
      <c r="J17">
        <v>94</v>
      </c>
      <c r="K17" s="1">
        <f t="shared" si="0"/>
        <v>60.415252103591655</v>
      </c>
      <c r="L17">
        <v>0</v>
      </c>
      <c r="M17" s="1">
        <f t="shared" si="1"/>
        <v>60.415252103591655</v>
      </c>
      <c r="N17" t="str">
        <f t="shared" si="2"/>
        <v>AP</v>
      </c>
    </row>
    <row r="18" spans="1:14" x14ac:dyDescent="0.3">
      <c r="A18" t="s">
        <v>18</v>
      </c>
      <c r="B18" s="1">
        <v>4.0230000000000006</v>
      </c>
      <c r="C18" s="1">
        <v>6.666666666666667</v>
      </c>
      <c r="D18" s="1">
        <v>24</v>
      </c>
      <c r="E18" s="1">
        <v>53.339666666666673</v>
      </c>
      <c r="F18" s="1">
        <v>10.097651878040001</v>
      </c>
      <c r="G18" s="1">
        <v>10</v>
      </c>
      <c r="H18" s="1">
        <v>25</v>
      </c>
      <c r="I18" s="1">
        <v>80.798250990840003</v>
      </c>
      <c r="J18">
        <v>63</v>
      </c>
      <c r="K18" s="1">
        <f t="shared" si="0"/>
        <v>65.848271180127341</v>
      </c>
      <c r="L18">
        <v>0</v>
      </c>
      <c r="M18" s="1">
        <f t="shared" si="1"/>
        <v>65.848271180127341</v>
      </c>
      <c r="N18" t="str">
        <f t="shared" si="2"/>
        <v>AP</v>
      </c>
    </row>
    <row r="19" spans="1:14" x14ac:dyDescent="0.3">
      <c r="A19" t="s">
        <v>19</v>
      </c>
      <c r="B19" s="1">
        <v>8.2753541622600011</v>
      </c>
      <c r="C19" s="1">
        <v>2.6666666666666665</v>
      </c>
      <c r="D19" s="1">
        <v>6</v>
      </c>
      <c r="E19" s="1">
        <v>29.348751918626668</v>
      </c>
      <c r="F19" s="1">
        <v>4.6180000000000003</v>
      </c>
      <c r="G19" s="1">
        <v>6.333333333333333</v>
      </c>
      <c r="H19" s="1">
        <v>4</v>
      </c>
      <c r="I19" s="1">
        <v>25.901333333333334</v>
      </c>
      <c r="J19">
        <v>24</v>
      </c>
      <c r="K19" s="1">
        <f t="shared" si="0"/>
        <v>26.537529838186</v>
      </c>
      <c r="L19">
        <v>0</v>
      </c>
      <c r="M19" s="1">
        <f t="shared" si="1"/>
        <v>26.537529838186</v>
      </c>
      <c r="N19" t="str">
        <f t="shared" si="2"/>
        <v>RP</v>
      </c>
    </row>
    <row r="20" spans="1:14" x14ac:dyDescent="0.3">
      <c r="A20" t="s">
        <v>20</v>
      </c>
      <c r="B20" s="1">
        <v>7.1935371880679995</v>
      </c>
      <c r="C20" s="1">
        <v>14</v>
      </c>
      <c r="D20" s="1">
        <v>24</v>
      </c>
      <c r="E20" s="1">
        <v>67.961776651568002</v>
      </c>
      <c r="F20" s="1">
        <v>8.9640910737599988</v>
      </c>
      <c r="G20" s="1">
        <v>12.333333333333334</v>
      </c>
      <c r="H20" s="1">
        <v>23</v>
      </c>
      <c r="I20" s="1">
        <v>69.200185806093344</v>
      </c>
      <c r="J20">
        <v>73</v>
      </c>
      <c r="K20" s="1">
        <f t="shared" si="0"/>
        <v>69.906686860181452</v>
      </c>
      <c r="L20">
        <v>0</v>
      </c>
      <c r="M20" s="1">
        <f t="shared" si="1"/>
        <v>69.906686860181452</v>
      </c>
      <c r="N20" t="str">
        <f t="shared" si="2"/>
        <v>AP</v>
      </c>
    </row>
    <row r="21" spans="1:14" x14ac:dyDescent="0.3">
      <c r="A21" t="s">
        <v>21</v>
      </c>
      <c r="B21" s="1">
        <v>6.5392106996399999</v>
      </c>
      <c r="C21" s="1">
        <v>17.333333333333332</v>
      </c>
      <c r="D21" s="1">
        <v>33</v>
      </c>
      <c r="E21" s="1">
        <v>78.671045869973327</v>
      </c>
      <c r="F21" s="1">
        <v>11.231684681322001</v>
      </c>
      <c r="G21" s="1">
        <v>16.333333333333332</v>
      </c>
      <c r="H21" s="1">
        <v>23</v>
      </c>
      <c r="I21" s="1">
        <v>76.047062769255334</v>
      </c>
      <c r="J21">
        <v>83</v>
      </c>
      <c r="K21" s="1">
        <f t="shared" si="0"/>
        <v>79.051338023730025</v>
      </c>
      <c r="L21">
        <v>87</v>
      </c>
      <c r="M21" s="1">
        <f t="shared" si="1"/>
        <v>82.884866054490658</v>
      </c>
      <c r="N21" t="str">
        <f t="shared" si="2"/>
        <v>AP</v>
      </c>
    </row>
    <row r="22" spans="1:14" x14ac:dyDescent="0.3">
      <c r="A22" t="s">
        <v>22</v>
      </c>
      <c r="B22" s="1">
        <v>9.4208279889999993</v>
      </c>
      <c r="C22" s="1">
        <v>11.333333333333334</v>
      </c>
      <c r="D22" s="1">
        <v>24</v>
      </c>
      <c r="E22" s="1">
        <v>68.072711868833323</v>
      </c>
      <c r="F22" s="1">
        <v>10.095626983680001</v>
      </c>
      <c r="G22" s="1">
        <v>16.333333333333332</v>
      </c>
      <c r="H22" s="1">
        <v>17</v>
      </c>
      <c r="I22" s="1">
        <v>70.916678893013327</v>
      </c>
      <c r="J22">
        <v>74</v>
      </c>
      <c r="K22" s="1">
        <f t="shared" si="0"/>
        <v>70.84628676664633</v>
      </c>
      <c r="L22">
        <v>0</v>
      </c>
      <c r="M22" s="1">
        <f t="shared" si="1"/>
        <v>70.84628676664633</v>
      </c>
      <c r="N22" t="str">
        <f t="shared" si="2"/>
        <v>AP</v>
      </c>
    </row>
    <row r="23" spans="1:14" x14ac:dyDescent="0.3">
      <c r="A23" t="s">
        <v>23</v>
      </c>
      <c r="B23" s="1">
        <v>8.6</v>
      </c>
      <c r="C23" s="1">
        <v>6</v>
      </c>
      <c r="D23" s="1">
        <v>24</v>
      </c>
      <c r="E23" s="1">
        <v>60.65</v>
      </c>
      <c r="F23" s="1">
        <v>9.4269807024799999</v>
      </c>
      <c r="G23" s="1">
        <v>8.3333333333333339</v>
      </c>
      <c r="H23" s="1">
        <v>12</v>
      </c>
      <c r="I23" s="1">
        <v>56.264240597413341</v>
      </c>
      <c r="J23">
        <v>53</v>
      </c>
      <c r="K23" s="1">
        <f t="shared" si="0"/>
        <v>56.819984209094663</v>
      </c>
      <c r="L23">
        <v>60</v>
      </c>
      <c r="M23" s="1">
        <f t="shared" si="1"/>
        <v>58.127499999999998</v>
      </c>
      <c r="N23" t="str">
        <f t="shared" si="2"/>
        <v>RP</v>
      </c>
    </row>
    <row r="24" spans="1:14" x14ac:dyDescent="0.3">
      <c r="A24" t="s">
        <v>24</v>
      </c>
      <c r="B24" s="1">
        <v>7.8859927297600008</v>
      </c>
      <c r="C24" s="1">
        <v>10</v>
      </c>
      <c r="D24" s="1">
        <v>14</v>
      </c>
      <c r="E24" s="1">
        <v>52.499601893760001</v>
      </c>
      <c r="F24" s="1">
        <v>9.7687857624840024</v>
      </c>
      <c r="G24" s="1">
        <v>8.3333333333333339</v>
      </c>
      <c r="H24" s="1">
        <v>10</v>
      </c>
      <c r="I24" s="1">
        <v>44.136679555417338</v>
      </c>
      <c r="J24">
        <v>38</v>
      </c>
      <c r="K24" s="1">
        <f t="shared" si="0"/>
        <v>45.222698507212066</v>
      </c>
      <c r="L24">
        <v>42</v>
      </c>
      <c r="M24" s="1">
        <f t="shared" si="1"/>
        <v>45.222698507212066</v>
      </c>
      <c r="N24" t="str">
        <f t="shared" si="2"/>
        <v>RP</v>
      </c>
    </row>
    <row r="25" spans="1:14" x14ac:dyDescent="0.3">
      <c r="A25" t="s">
        <v>25</v>
      </c>
      <c r="B25" s="1">
        <v>6.8</v>
      </c>
      <c r="C25" s="1">
        <v>9</v>
      </c>
      <c r="D25" s="1">
        <v>21</v>
      </c>
      <c r="E25" s="1">
        <v>58.099999999999994</v>
      </c>
      <c r="F25" s="1">
        <v>9.2731814988799997</v>
      </c>
      <c r="G25" s="1">
        <v>12</v>
      </c>
      <c r="H25" s="1">
        <v>25</v>
      </c>
      <c r="I25" s="1">
        <v>71.641117447680003</v>
      </c>
      <c r="J25">
        <v>46</v>
      </c>
      <c r="K25" s="1">
        <f t="shared" si="0"/>
        <v>59.209391106687988</v>
      </c>
      <c r="L25">
        <v>41</v>
      </c>
      <c r="M25" s="1">
        <f t="shared" si="1"/>
        <v>59.209391106687988</v>
      </c>
      <c r="N25" t="str">
        <f t="shared" si="2"/>
        <v>RP</v>
      </c>
    </row>
    <row r="26" spans="1:14" x14ac:dyDescent="0.3">
      <c r="A26" t="s">
        <v>26</v>
      </c>
      <c r="B26" s="1">
        <v>7.2607605696000013</v>
      </c>
      <c r="C26" s="1">
        <v>11</v>
      </c>
      <c r="D26" s="1">
        <v>19</v>
      </c>
      <c r="E26" s="1">
        <v>58.4426185592</v>
      </c>
      <c r="F26" s="1">
        <v>9.3923630224000014</v>
      </c>
      <c r="G26" s="1">
        <v>14</v>
      </c>
      <c r="H26" s="1">
        <v>12</v>
      </c>
      <c r="I26" s="1">
        <v>60.727770510399999</v>
      </c>
      <c r="J26">
        <v>79</v>
      </c>
      <c r="K26" s="1">
        <f t="shared" si="0"/>
        <v>65.409636174359989</v>
      </c>
      <c r="L26">
        <v>0</v>
      </c>
      <c r="M26" s="1">
        <f t="shared" si="1"/>
        <v>65.409636174359989</v>
      </c>
      <c r="N26" t="str">
        <f t="shared" si="2"/>
        <v>AP</v>
      </c>
    </row>
    <row r="27" spans="1:14" x14ac:dyDescent="0.3">
      <c r="A27" t="s">
        <v>27</v>
      </c>
      <c r="B27" s="1">
        <v>8.0298688067999997</v>
      </c>
      <c r="C27" s="1">
        <v>13</v>
      </c>
      <c r="D27" s="1">
        <v>19</v>
      </c>
      <c r="E27" s="1">
        <v>60.765481989999998</v>
      </c>
      <c r="F27" s="1">
        <v>9.3779665384199991</v>
      </c>
      <c r="G27" s="1">
        <v>13.666666666666666</v>
      </c>
      <c r="H27" s="1">
        <v>9</v>
      </c>
      <c r="I27" s="1">
        <v>55.342409862286665</v>
      </c>
      <c r="J27">
        <v>37</v>
      </c>
      <c r="K27" s="1">
        <f t="shared" si="0"/>
        <v>51.737762148300327</v>
      </c>
      <c r="L27">
        <v>66</v>
      </c>
      <c r="M27" s="1">
        <f t="shared" si="1"/>
        <v>55.467918696499993</v>
      </c>
      <c r="N27" t="str">
        <f t="shared" si="2"/>
        <v>RP</v>
      </c>
    </row>
    <row r="28" spans="1:14" x14ac:dyDescent="0.3">
      <c r="A28" t="s">
        <v>28</v>
      </c>
      <c r="B28" s="1">
        <v>8.4349273855</v>
      </c>
      <c r="C28" s="1">
        <v>8</v>
      </c>
      <c r="D28" s="1">
        <v>11</v>
      </c>
      <c r="E28" s="1">
        <v>47.605755374500006</v>
      </c>
      <c r="F28" s="1">
        <v>9.1152046895000005</v>
      </c>
      <c r="G28" s="1">
        <v>6.666666666666667</v>
      </c>
      <c r="H28" s="1">
        <v>10</v>
      </c>
      <c r="I28" s="1">
        <v>48.451587327166663</v>
      </c>
      <c r="J28">
        <v>88</v>
      </c>
      <c r="K28" s="1">
        <f t="shared" si="0"/>
        <v>60.02006994558333</v>
      </c>
      <c r="L28">
        <v>0</v>
      </c>
      <c r="M28" s="1">
        <f t="shared" si="1"/>
        <v>60.02006994558333</v>
      </c>
      <c r="N28" t="str">
        <f t="shared" si="2"/>
        <v>AP</v>
      </c>
    </row>
    <row r="29" spans="1:14" x14ac:dyDescent="0.3">
      <c r="A29" t="s">
        <v>29</v>
      </c>
      <c r="B29" s="1">
        <v>8.6401771766000017</v>
      </c>
      <c r="C29" s="1">
        <v>18</v>
      </c>
      <c r="D29" s="1">
        <v>25</v>
      </c>
      <c r="E29" s="1">
        <v>75.562718837999995</v>
      </c>
      <c r="F29" s="1">
        <v>9.4269807024799999</v>
      </c>
      <c r="G29" s="1">
        <v>15.333333333333334</v>
      </c>
      <c r="H29" s="1">
        <v>33</v>
      </c>
      <c r="I29" s="1">
        <v>83.91424059741334</v>
      </c>
      <c r="J29">
        <v>51</v>
      </c>
      <c r="K29" s="1">
        <f t="shared" si="0"/>
        <v>71.116935802394664</v>
      </c>
      <c r="L29">
        <v>0</v>
      </c>
      <c r="M29" s="1">
        <f t="shared" si="1"/>
        <v>71.116935802394664</v>
      </c>
      <c r="N29" t="str">
        <f t="shared" si="2"/>
        <v>AP</v>
      </c>
    </row>
    <row r="30" spans="1:14" x14ac:dyDescent="0.3">
      <c r="A30" t="s">
        <v>30</v>
      </c>
      <c r="B30" s="1">
        <v>7.8650184335300004</v>
      </c>
      <c r="C30" s="1">
        <v>1</v>
      </c>
      <c r="D30" s="1">
        <v>4</v>
      </c>
      <c r="E30" s="1">
        <v>32.830434442029997</v>
      </c>
      <c r="F30" s="1">
        <v>9.5704492205400005</v>
      </c>
      <c r="G30" s="1">
        <v>7</v>
      </c>
      <c r="H30" s="1">
        <v>4</v>
      </c>
      <c r="I30" s="1">
        <v>33.162066695939998</v>
      </c>
      <c r="J30">
        <v>82</v>
      </c>
      <c r="K30" s="1">
        <f t="shared" si="0"/>
        <v>47.697375398289495</v>
      </c>
      <c r="L30">
        <v>31</v>
      </c>
      <c r="M30" s="1">
        <f t="shared" si="1"/>
        <v>47.697375398289495</v>
      </c>
      <c r="N30" t="str">
        <f t="shared" si="2"/>
        <v>RP</v>
      </c>
    </row>
    <row r="31" spans="1:14" x14ac:dyDescent="0.3">
      <c r="A31" t="s">
        <v>31</v>
      </c>
      <c r="B31" s="1">
        <v>7.7</v>
      </c>
      <c r="C31" s="1">
        <v>8</v>
      </c>
      <c r="D31" s="1">
        <v>15</v>
      </c>
      <c r="E31" s="1">
        <v>50.35</v>
      </c>
      <c r="F31" s="1">
        <v>9.3779665384199991</v>
      </c>
      <c r="G31" s="1">
        <v>10</v>
      </c>
      <c r="H31" s="1">
        <v>19</v>
      </c>
      <c r="I31" s="1">
        <v>61.238482562619993</v>
      </c>
      <c r="J31">
        <v>44</v>
      </c>
      <c r="K31" s="1">
        <f t="shared" si="0"/>
        <v>52.255968896916997</v>
      </c>
      <c r="L31">
        <v>51</v>
      </c>
      <c r="M31" s="1">
        <f t="shared" si="1"/>
        <v>52.483468896916989</v>
      </c>
      <c r="N31" t="str">
        <f t="shared" si="2"/>
        <v>RP</v>
      </c>
    </row>
    <row r="32" spans="1:14" x14ac:dyDescent="0.3">
      <c r="A32" t="s">
        <v>32</v>
      </c>
      <c r="B32" s="1">
        <v>7.8426208687800001</v>
      </c>
      <c r="C32" s="1">
        <v>16.666666666666668</v>
      </c>
      <c r="D32" s="1">
        <v>27</v>
      </c>
      <c r="E32" s="1">
        <v>74.213541946646671</v>
      </c>
      <c r="F32" s="1">
        <v>9.695896896999999</v>
      </c>
      <c r="G32" s="1">
        <v>16</v>
      </c>
      <c r="H32" s="1">
        <v>24</v>
      </c>
      <c r="I32" s="1">
        <v>74.993345609000002</v>
      </c>
      <c r="J32">
        <v>54</v>
      </c>
      <c r="K32" s="1">
        <f t="shared" si="0"/>
        <v>68.422410644476344</v>
      </c>
      <c r="L32">
        <v>0</v>
      </c>
      <c r="M32" s="1">
        <f t="shared" si="1"/>
        <v>68.422410644476344</v>
      </c>
      <c r="N32" t="str">
        <f t="shared" si="2"/>
        <v>AP</v>
      </c>
    </row>
    <row r="33" spans="1:14" x14ac:dyDescent="0.3">
      <c r="A33" t="s">
        <v>33</v>
      </c>
      <c r="B33" s="1">
        <v>8.431533010599999</v>
      </c>
      <c r="C33" s="1">
        <v>10</v>
      </c>
      <c r="D33" s="1">
        <v>6</v>
      </c>
      <c r="E33" s="1">
        <v>38.277242447900001</v>
      </c>
      <c r="F33" s="1">
        <v>4.92</v>
      </c>
      <c r="G33" s="1">
        <v>11.666666666666666</v>
      </c>
      <c r="H33" s="1">
        <v>8</v>
      </c>
      <c r="I33" s="1">
        <v>40.686666666666667</v>
      </c>
      <c r="J33">
        <v>36</v>
      </c>
      <c r="K33" s="1">
        <f t="shared" si="0"/>
        <v>38.437368190098326</v>
      </c>
      <c r="L33">
        <v>0</v>
      </c>
      <c r="M33" s="1">
        <f t="shared" si="1"/>
        <v>38.437368190098326</v>
      </c>
      <c r="N33" t="str">
        <f t="shared" si="2"/>
        <v>RP</v>
      </c>
    </row>
    <row r="34" spans="1:14" x14ac:dyDescent="0.3">
      <c r="A34" t="s">
        <v>34</v>
      </c>
      <c r="B34" s="1">
        <v>7.8594298945200007</v>
      </c>
      <c r="C34" s="1">
        <v>10.666666666666666</v>
      </c>
      <c r="D34" s="1">
        <v>19</v>
      </c>
      <c r="E34" s="1">
        <v>59.88088264738667</v>
      </c>
      <c r="F34" s="1">
        <v>12.131606002774001</v>
      </c>
      <c r="G34" s="1">
        <v>8.3333333333333339</v>
      </c>
      <c r="H34" s="1">
        <v>21</v>
      </c>
      <c r="I34" s="1">
        <v>63.378881559107334</v>
      </c>
      <c r="J34">
        <v>83</v>
      </c>
      <c r="K34" s="1">
        <f t="shared" si="0"/>
        <v>68.040917472272895</v>
      </c>
      <c r="L34">
        <v>0</v>
      </c>
      <c r="M34" s="1">
        <f t="shared" si="1"/>
        <v>68.040917472272895</v>
      </c>
      <c r="N34" t="str">
        <f t="shared" si="2"/>
        <v>AP</v>
      </c>
    </row>
    <row r="35" spans="1:14" x14ac:dyDescent="0.3">
      <c r="A35" t="s">
        <v>35</v>
      </c>
      <c r="B35" s="1">
        <v>8.5</v>
      </c>
      <c r="C35" s="1">
        <v>11.333333333333334</v>
      </c>
      <c r="D35" s="1">
        <v>23</v>
      </c>
      <c r="E35" s="1">
        <v>65.883333333333326</v>
      </c>
      <c r="F35" s="1">
        <v>8.7621130230399995</v>
      </c>
      <c r="G35" s="1">
        <v>13.333333333333334</v>
      </c>
      <c r="H35" s="1">
        <v>24</v>
      </c>
      <c r="I35" s="1">
        <v>73.080906684373332</v>
      </c>
      <c r="J35">
        <v>76</v>
      </c>
      <c r="K35" s="1">
        <f t="shared" si="0"/>
        <v>71.437484006197323</v>
      </c>
      <c r="L35">
        <v>0</v>
      </c>
      <c r="M35" s="1">
        <f t="shared" si="1"/>
        <v>71.437484006197323</v>
      </c>
      <c r="N35" t="str">
        <f t="shared" si="2"/>
        <v>AP</v>
      </c>
    </row>
    <row r="36" spans="1:14" x14ac:dyDescent="0.3">
      <c r="A36" t="s">
        <v>36</v>
      </c>
      <c r="B36" s="1">
        <v>9.59089397236</v>
      </c>
      <c r="C36" s="1">
        <v>10.666666666666666</v>
      </c>
      <c r="D36" s="1">
        <v>18</v>
      </c>
      <c r="E36" s="1">
        <v>59.260632146226669</v>
      </c>
      <c r="F36" s="1">
        <v>9.695896896999999</v>
      </c>
      <c r="G36" s="1">
        <v>18.666666666666668</v>
      </c>
      <c r="H36" s="1">
        <v>22</v>
      </c>
      <c r="I36" s="1">
        <v>74.597639840066662</v>
      </c>
      <c r="J36">
        <v>60</v>
      </c>
      <c r="K36" s="1">
        <f t="shared" si="0"/>
        <v>64.850395195202665</v>
      </c>
      <c r="L36">
        <v>0</v>
      </c>
      <c r="M36" s="1">
        <f t="shared" si="1"/>
        <v>64.850395195202665</v>
      </c>
      <c r="N36" t="str">
        <f t="shared" si="2"/>
        <v>AP</v>
      </c>
    </row>
    <row r="37" spans="1:14" x14ac:dyDescent="0.3">
      <c r="A37" t="s">
        <v>37</v>
      </c>
      <c r="B37" s="1">
        <v>8.2460000000000004</v>
      </c>
      <c r="C37" s="1">
        <v>15</v>
      </c>
      <c r="D37" s="1">
        <v>30</v>
      </c>
      <c r="E37" s="1">
        <v>78.396000000000001</v>
      </c>
      <c r="F37" s="1">
        <v>10.1828656449</v>
      </c>
      <c r="G37" s="1">
        <v>12.333333333333334</v>
      </c>
      <c r="H37" s="1">
        <v>20</v>
      </c>
      <c r="I37" s="1">
        <v>69.26135169123333</v>
      </c>
      <c r="J37">
        <v>62</v>
      </c>
      <c r="K37" s="1">
        <f t="shared" si="0"/>
        <v>70.280073091931655</v>
      </c>
      <c r="L37">
        <v>0</v>
      </c>
      <c r="M37" s="1">
        <f t="shared" si="1"/>
        <v>70.280073091931655</v>
      </c>
      <c r="N37" t="str">
        <f t="shared" si="2"/>
        <v>AP</v>
      </c>
    </row>
    <row r="38" spans="1:14" x14ac:dyDescent="0.3">
      <c r="A38" t="s">
        <v>38</v>
      </c>
      <c r="B38" s="1">
        <v>8.5515624486400021</v>
      </c>
      <c r="C38" s="1">
        <v>16.666666666666668</v>
      </c>
      <c r="D38" s="1">
        <v>30</v>
      </c>
      <c r="E38" s="1">
        <v>80.419496731306666</v>
      </c>
      <c r="F38" s="1">
        <v>9.695896896999999</v>
      </c>
      <c r="G38" s="1">
        <v>19.333333333333332</v>
      </c>
      <c r="H38" s="1">
        <v>32</v>
      </c>
      <c r="I38" s="1">
        <v>85.947809925933328</v>
      </c>
      <c r="J38">
        <v>61</v>
      </c>
      <c r="K38" s="1">
        <f t="shared" si="0"/>
        <v>76.528557330033991</v>
      </c>
      <c r="L38">
        <v>0</v>
      </c>
      <c r="M38" s="1">
        <f t="shared" si="1"/>
        <v>76.528557330033991</v>
      </c>
      <c r="N38" t="str">
        <f t="shared" si="2"/>
        <v>AP</v>
      </c>
    </row>
    <row r="39" spans="1:14" x14ac:dyDescent="0.3">
      <c r="A39" t="s">
        <v>39</v>
      </c>
      <c r="B39" s="1">
        <v>7.7</v>
      </c>
      <c r="C39" s="1">
        <v>12.666666666666666</v>
      </c>
      <c r="D39" s="1">
        <v>27</v>
      </c>
      <c r="E39" s="1">
        <v>68.166666666666657</v>
      </c>
      <c r="F39" s="1">
        <v>8.951469791780001</v>
      </c>
      <c r="G39" s="1">
        <v>14.333333333333334</v>
      </c>
      <c r="H39" s="1">
        <v>18</v>
      </c>
      <c r="I39" s="1">
        <v>65.308325083513324</v>
      </c>
      <c r="J39">
        <v>44</v>
      </c>
      <c r="K39" s="1">
        <f t="shared" si="0"/>
        <v>59.916247112562985</v>
      </c>
      <c r="L39">
        <v>0</v>
      </c>
      <c r="M39" s="1">
        <f t="shared" si="1"/>
        <v>59.916247112562985</v>
      </c>
      <c r="N39" t="str">
        <f t="shared" si="2"/>
        <v>AP</v>
      </c>
    </row>
    <row r="40" spans="1:14" x14ac:dyDescent="0.3">
      <c r="A40" t="s">
        <v>40</v>
      </c>
      <c r="B40" s="1">
        <v>8.0298688067999997</v>
      </c>
      <c r="C40" s="1">
        <v>7.666666666666667</v>
      </c>
      <c r="D40" s="1">
        <v>20</v>
      </c>
      <c r="E40" s="1">
        <v>58.292953753466669</v>
      </c>
      <c r="F40" s="1">
        <v>8.9391752520000001</v>
      </c>
      <c r="G40" s="1">
        <v>10.333333333333334</v>
      </c>
      <c r="H40" s="1">
        <v>15</v>
      </c>
      <c r="I40" s="1">
        <v>53.891200929333337</v>
      </c>
      <c r="J40">
        <v>49</v>
      </c>
      <c r="K40" s="1">
        <f t="shared" si="0"/>
        <v>53.964454138980003</v>
      </c>
      <c r="L40">
        <v>61</v>
      </c>
      <c r="M40" s="1">
        <f t="shared" si="1"/>
        <v>56.45253381371333</v>
      </c>
      <c r="N40" t="str">
        <f t="shared" si="2"/>
        <v>RP</v>
      </c>
    </row>
    <row r="41" spans="1:14" x14ac:dyDescent="0.3">
      <c r="A41" t="s">
        <v>41</v>
      </c>
      <c r="B41" s="1">
        <v>7.2</v>
      </c>
      <c r="C41" s="1">
        <v>7.333333333333333</v>
      </c>
      <c r="D41" s="1">
        <v>28</v>
      </c>
      <c r="E41" s="1">
        <v>64.333333333333343</v>
      </c>
      <c r="F41" s="1">
        <v>9.1152046895000005</v>
      </c>
      <c r="G41" s="1">
        <v>16.666666666666668</v>
      </c>
      <c r="H41" s="1">
        <v>22</v>
      </c>
      <c r="I41" s="1">
        <v>70.927255665166669</v>
      </c>
      <c r="J41">
        <v>74</v>
      </c>
      <c r="K41" s="1">
        <f t="shared" si="0"/>
        <v>69.541206149475002</v>
      </c>
      <c r="L41">
        <v>0</v>
      </c>
      <c r="M41" s="1">
        <f t="shared" si="1"/>
        <v>69.541206149475002</v>
      </c>
      <c r="N41" t="str">
        <f t="shared" si="2"/>
        <v>AP</v>
      </c>
    </row>
    <row r="42" spans="1:14" x14ac:dyDescent="0.3">
      <c r="A42" t="s">
        <v>42</v>
      </c>
      <c r="B42" s="1">
        <v>9.2236478683000005</v>
      </c>
      <c r="C42" s="1">
        <v>19.333333333333332</v>
      </c>
      <c r="D42" s="1">
        <v>33</v>
      </c>
      <c r="E42" s="1">
        <v>85.935511001133335</v>
      </c>
      <c r="F42" s="1">
        <v>9.3033350302920006</v>
      </c>
      <c r="G42" s="1">
        <v>19.666666666666668</v>
      </c>
      <c r="H42" s="1">
        <v>26</v>
      </c>
      <c r="I42" s="1">
        <v>74.187074269358675</v>
      </c>
      <c r="J42">
        <v>42</v>
      </c>
      <c r="K42" s="1">
        <f t="shared" si="0"/>
        <v>68.642904844672202</v>
      </c>
      <c r="L42">
        <v>0</v>
      </c>
      <c r="M42" s="1">
        <f t="shared" si="1"/>
        <v>68.642904844672202</v>
      </c>
      <c r="N42" t="str">
        <f t="shared" si="2"/>
        <v>AP</v>
      </c>
    </row>
    <row r="43" spans="1:14" x14ac:dyDescent="0.3">
      <c r="A43" t="s">
        <v>43</v>
      </c>
      <c r="B43" s="1">
        <v>8.5639420471000012</v>
      </c>
      <c r="C43" s="1">
        <v>14.333333333333334</v>
      </c>
      <c r="D43" s="1">
        <v>24</v>
      </c>
      <c r="E43" s="1">
        <v>69.336937455933338</v>
      </c>
      <c r="F43" s="1">
        <v>9.4269807024799999</v>
      </c>
      <c r="G43" s="1">
        <v>12</v>
      </c>
      <c r="H43" s="1">
        <v>22</v>
      </c>
      <c r="I43" s="1">
        <v>70.180907264080005</v>
      </c>
      <c r="J43">
        <v>64</v>
      </c>
      <c r="K43" s="1">
        <f t="shared" si="0"/>
        <v>68.031245652004657</v>
      </c>
      <c r="L43">
        <v>0</v>
      </c>
      <c r="M43" s="1">
        <f t="shared" si="1"/>
        <v>68.031245652004657</v>
      </c>
      <c r="N43" t="str">
        <f t="shared" si="2"/>
        <v>AP</v>
      </c>
    </row>
    <row r="44" spans="1:14" x14ac:dyDescent="0.3">
      <c r="A44" t="s">
        <v>44</v>
      </c>
      <c r="B44" s="1">
        <v>6.0058273351999993</v>
      </c>
      <c r="C44" s="1">
        <v>14.666666666666666</v>
      </c>
      <c r="D44" s="1">
        <v>31</v>
      </c>
      <c r="E44" s="1">
        <v>76.190256307466655</v>
      </c>
      <c r="F44" s="1">
        <v>9.1152046895000005</v>
      </c>
      <c r="G44" s="1">
        <v>13</v>
      </c>
      <c r="H44" s="1">
        <v>29</v>
      </c>
      <c r="I44" s="1">
        <v>75.060923167499993</v>
      </c>
      <c r="J44">
        <v>92</v>
      </c>
      <c r="K44" s="1">
        <f t="shared" si="0"/>
        <v>80.537912816238318</v>
      </c>
      <c r="L44">
        <v>0</v>
      </c>
      <c r="M44" s="1">
        <f t="shared" si="1"/>
        <v>80.537912816238318</v>
      </c>
      <c r="N44" t="str">
        <f t="shared" si="2"/>
        <v>AP</v>
      </c>
    </row>
    <row r="45" spans="1:14" x14ac:dyDescent="0.3">
      <c r="A45" t="s">
        <v>45</v>
      </c>
      <c r="B45" s="1">
        <v>8.5028760650180022</v>
      </c>
      <c r="C45" s="1">
        <v>11.333333333333334</v>
      </c>
      <c r="D45" s="1">
        <v>19</v>
      </c>
      <c r="E45" s="1">
        <v>59.804223636651336</v>
      </c>
      <c r="F45" s="1">
        <v>9.3881382495000008</v>
      </c>
      <c r="G45" s="1">
        <v>9.3333333333333339</v>
      </c>
      <c r="H45" s="1">
        <v>18</v>
      </c>
      <c r="I45" s="1">
        <v>55.493738282833334</v>
      </c>
      <c r="J45">
        <v>55</v>
      </c>
      <c r="K45" s="1">
        <f t="shared" si="0"/>
        <v>56.854286671819629</v>
      </c>
      <c r="L45">
        <v>43</v>
      </c>
      <c r="M45" s="1">
        <f t="shared" si="1"/>
        <v>56.854286671819629</v>
      </c>
      <c r="N45" t="str">
        <f t="shared" si="2"/>
        <v>RP</v>
      </c>
    </row>
    <row r="46" spans="1:14" x14ac:dyDescent="0.3">
      <c r="A46" t="s">
        <v>46</v>
      </c>
      <c r="B46" s="1">
        <v>8.1956732207159995</v>
      </c>
      <c r="C46" s="1">
        <v>8</v>
      </c>
      <c r="D46" s="1">
        <v>22</v>
      </c>
      <c r="E46" s="1">
        <v>60.269312054516</v>
      </c>
      <c r="F46" s="1">
        <v>9.1199999999999992</v>
      </c>
      <c r="G46" s="1">
        <v>10</v>
      </c>
      <c r="H46" s="1">
        <v>21</v>
      </c>
      <c r="I46" s="1">
        <v>62.42</v>
      </c>
      <c r="J46">
        <v>52</v>
      </c>
      <c r="K46" s="1">
        <f t="shared" si="0"/>
        <v>58.541259219080594</v>
      </c>
      <c r="L46">
        <v>64.27000000000001</v>
      </c>
      <c r="M46" s="1">
        <f t="shared" si="1"/>
        <v>59.941499999999998</v>
      </c>
      <c r="N46" t="str">
        <f t="shared" si="2"/>
        <v>AP</v>
      </c>
    </row>
    <row r="47" spans="1:14" x14ac:dyDescent="0.3">
      <c r="A47" t="s">
        <v>47</v>
      </c>
      <c r="B47" s="1">
        <v>8.8000000000000007</v>
      </c>
      <c r="C47" s="1">
        <v>7.666666666666667</v>
      </c>
      <c r="D47" s="1">
        <v>16</v>
      </c>
      <c r="E47" s="1">
        <v>53.666666666666664</v>
      </c>
      <c r="F47" s="1">
        <v>8.7621130230399995</v>
      </c>
      <c r="G47" s="1">
        <v>19.666666666666668</v>
      </c>
      <c r="H47" s="1">
        <v>27</v>
      </c>
      <c r="I47" s="1">
        <v>81.964240017706672</v>
      </c>
      <c r="J47">
        <v>70</v>
      </c>
      <c r="K47" s="1">
        <f t="shared" si="0"/>
        <v>68.470817339530669</v>
      </c>
      <c r="L47">
        <v>0</v>
      </c>
      <c r="M47" s="1">
        <f t="shared" si="1"/>
        <v>68.470817339530669</v>
      </c>
      <c r="N47" t="str">
        <f t="shared" si="2"/>
        <v>AP</v>
      </c>
    </row>
    <row r="48" spans="1:14" x14ac:dyDescent="0.3">
      <c r="A48" t="s">
        <v>48</v>
      </c>
      <c r="B48" s="1">
        <v>9.2759087256000026</v>
      </c>
      <c r="C48" s="1">
        <v>10.666666666666666</v>
      </c>
      <c r="D48" s="1">
        <v>19</v>
      </c>
      <c r="E48" s="1">
        <v>61.601561263766669</v>
      </c>
      <c r="F48" s="1">
        <v>9.4716248779200019</v>
      </c>
      <c r="G48" s="1">
        <v>8</v>
      </c>
      <c r="H48" s="1">
        <v>10</v>
      </c>
      <c r="I48" s="1">
        <v>54.966516124120005</v>
      </c>
      <c r="J48">
        <v>79</v>
      </c>
      <c r="K48" s="1">
        <f t="shared" si="0"/>
        <v>64.49882708576034</v>
      </c>
      <c r="L48">
        <v>0</v>
      </c>
      <c r="M48" s="1">
        <f t="shared" si="1"/>
        <v>64.49882708576034</v>
      </c>
      <c r="N48" t="str">
        <f t="shared" si="2"/>
        <v>AP</v>
      </c>
    </row>
    <row r="49" spans="1:14" x14ac:dyDescent="0.3">
      <c r="A49" t="s">
        <v>49</v>
      </c>
      <c r="B49" s="1">
        <v>7.3</v>
      </c>
      <c r="C49" s="1">
        <v>12.666666666666666</v>
      </c>
      <c r="D49" s="1">
        <v>29</v>
      </c>
      <c r="E49" s="1">
        <v>69.866666666666674</v>
      </c>
      <c r="F49" s="1">
        <v>9.1152046895000005</v>
      </c>
      <c r="G49" s="1">
        <v>16.333333333333332</v>
      </c>
      <c r="H49" s="1">
        <v>15</v>
      </c>
      <c r="I49" s="1">
        <v>66.169256500833328</v>
      </c>
      <c r="J49">
        <v>85</v>
      </c>
      <c r="K49" s="1">
        <f t="shared" si="0"/>
        <v>73.112573108625</v>
      </c>
      <c r="L49">
        <v>67</v>
      </c>
      <c r="M49" s="1">
        <f t="shared" si="1"/>
        <v>73.403333333333336</v>
      </c>
      <c r="N49" t="str">
        <f t="shared" si="2"/>
        <v>AP</v>
      </c>
    </row>
    <row r="50" spans="1:14" x14ac:dyDescent="0.3">
      <c r="A50" t="s">
        <v>50</v>
      </c>
      <c r="B50" s="1">
        <v>9.1718627383599998</v>
      </c>
      <c r="C50" s="1">
        <v>2</v>
      </c>
      <c r="D50" s="1">
        <v>12</v>
      </c>
      <c r="E50" s="1">
        <v>43.500572175659997</v>
      </c>
      <c r="F50" s="1">
        <v>9.4716248779200019</v>
      </c>
      <c r="G50" s="1">
        <v>10.666666666666666</v>
      </c>
      <c r="H50" s="1">
        <v>18</v>
      </c>
      <c r="I50" s="1">
        <v>63.631842753586668</v>
      </c>
      <c r="J50">
        <v>84</v>
      </c>
      <c r="K50" s="1">
        <f t="shared" si="0"/>
        <v>62.696345225236328</v>
      </c>
      <c r="L50">
        <v>0</v>
      </c>
      <c r="M50" s="1">
        <f t="shared" si="1"/>
        <v>62.696345225236328</v>
      </c>
      <c r="N50" t="str">
        <f t="shared" si="2"/>
        <v>AP</v>
      </c>
    </row>
    <row r="51" spans="1:14" x14ac:dyDescent="0.3">
      <c r="A51" t="s">
        <v>51</v>
      </c>
      <c r="B51" s="1">
        <v>7.5200000000000005</v>
      </c>
      <c r="C51" s="1">
        <v>10.666666666666666</v>
      </c>
      <c r="D51" s="1">
        <v>19</v>
      </c>
      <c r="E51" s="1">
        <v>57.011666666666663</v>
      </c>
      <c r="F51" s="1">
        <v>4.6210000000000004</v>
      </c>
      <c r="G51" s="1">
        <v>8.6666666666666661</v>
      </c>
      <c r="H51" s="1">
        <v>13</v>
      </c>
      <c r="I51" s="1">
        <v>40.687666666666665</v>
      </c>
      <c r="J51">
        <v>73</v>
      </c>
      <c r="K51" s="1">
        <f t="shared" si="0"/>
        <v>56.094766666666658</v>
      </c>
      <c r="L51">
        <v>41</v>
      </c>
      <c r="M51" s="1">
        <f t="shared" si="1"/>
        <v>56.204083333333323</v>
      </c>
      <c r="N51" t="str">
        <f t="shared" si="2"/>
        <v>RP</v>
      </c>
    </row>
    <row r="52" spans="1:14" x14ac:dyDescent="0.3">
      <c r="A52" t="s">
        <v>52</v>
      </c>
      <c r="B52" s="1">
        <v>9.32</v>
      </c>
      <c r="C52" s="1">
        <v>13.333333333333334</v>
      </c>
      <c r="D52" s="1">
        <v>20</v>
      </c>
      <c r="E52" s="1">
        <v>65.953333333333333</v>
      </c>
      <c r="F52" s="1">
        <v>9.4716248779200019</v>
      </c>
      <c r="G52" s="1">
        <v>12.333333333333334</v>
      </c>
      <c r="H52" s="1">
        <v>19</v>
      </c>
      <c r="I52" s="1">
        <v>67.498509420253342</v>
      </c>
      <c r="J52">
        <v>83</v>
      </c>
      <c r="K52" s="1">
        <f t="shared" si="0"/>
        <v>71.608144963755336</v>
      </c>
      <c r="L52">
        <v>54</v>
      </c>
      <c r="M52" s="1">
        <f t="shared" si="1"/>
        <v>71.608144963755336</v>
      </c>
      <c r="N52" t="str">
        <f t="shared" si="2"/>
        <v>AP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9429-8703-4320-B402-8BE6A17251E5}">
  <dimension ref="A1:N52"/>
  <sheetViews>
    <sheetView zoomScale="64" workbookViewId="0">
      <selection activeCell="N44" sqref="N44"/>
    </sheetView>
  </sheetViews>
  <sheetFormatPr defaultRowHeight="14.4" x14ac:dyDescent="0.3"/>
  <cols>
    <col min="3" max="3" width="10.44140625" bestFit="1" customWidth="1"/>
  </cols>
  <sheetData>
    <row r="1" spans="1:14" ht="43.2" x14ac:dyDescent="0.3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297</v>
      </c>
      <c r="L1" s="2" t="s">
        <v>298</v>
      </c>
      <c r="M1" s="2" t="s">
        <v>299</v>
      </c>
      <c r="N1" s="2" t="s">
        <v>300</v>
      </c>
    </row>
    <row r="2" spans="1:14" x14ac:dyDescent="0.3">
      <c r="A2" t="s">
        <v>61</v>
      </c>
      <c r="B2" s="1">
        <v>5.9399999999999995</v>
      </c>
      <c r="C2" s="1">
        <v>6</v>
      </c>
      <c r="D2" s="1">
        <v>12</v>
      </c>
      <c r="E2" s="1">
        <v>40.353999999999999</v>
      </c>
      <c r="F2" s="1">
        <v>9.1999999999999993</v>
      </c>
      <c r="G2" s="1">
        <v>9</v>
      </c>
      <c r="H2" s="1">
        <v>20</v>
      </c>
      <c r="I2" s="1">
        <v>58.733333333333334</v>
      </c>
      <c r="J2">
        <v>34</v>
      </c>
      <c r="K2" s="1">
        <f>(0.3*J2)+((E2+I2)*0.35)</f>
        <v>44.880566666666667</v>
      </c>
      <c r="L2" s="1">
        <v>0</v>
      </c>
      <c r="M2" s="1">
        <f t="shared" ref="M2:M43" si="0">(0.7*(SUM(E2,I2,L2)-MIN(E2,I2,L2))/2)+(0.3*J2)</f>
        <v>44.880566666666667</v>
      </c>
      <c r="N2" t="str">
        <f>IF(M2&gt;59.5,"AP","RP")</f>
        <v>RP</v>
      </c>
    </row>
    <row r="3" spans="1:14" x14ac:dyDescent="0.3">
      <c r="A3" t="s">
        <v>62</v>
      </c>
      <c r="B3" s="1">
        <v>8.8580000000000005</v>
      </c>
      <c r="C3" s="1">
        <v>12</v>
      </c>
      <c r="D3" s="1">
        <v>35</v>
      </c>
      <c r="E3" s="1">
        <v>77.182000000000002</v>
      </c>
      <c r="F3" s="1">
        <v>8.8000000000000007</v>
      </c>
      <c r="G3" s="1">
        <v>7</v>
      </c>
      <c r="H3" s="1">
        <v>21</v>
      </c>
      <c r="I3" s="1">
        <v>58.366666666666667</v>
      </c>
      <c r="J3">
        <v>46</v>
      </c>
      <c r="K3" s="1">
        <f t="shared" ref="K3:K43" si="1">(0.3*J3)+((E3+I3)*0.35)</f>
        <v>61.242033333333325</v>
      </c>
      <c r="L3" s="1">
        <v>0</v>
      </c>
      <c r="M3" s="1">
        <f t="shared" si="0"/>
        <v>61.242033333333325</v>
      </c>
      <c r="N3" t="str">
        <f t="shared" ref="N3:N43" si="2">IF(M3&gt;59.5,"AP","RP")</f>
        <v>AP</v>
      </c>
    </row>
    <row r="4" spans="1:14" x14ac:dyDescent="0.3">
      <c r="A4" t="s">
        <v>63</v>
      </c>
      <c r="B4" s="1">
        <v>6.58</v>
      </c>
      <c r="C4" s="1">
        <v>7</v>
      </c>
      <c r="D4" s="1">
        <v>15</v>
      </c>
      <c r="E4" s="1">
        <v>38.073999999999998</v>
      </c>
      <c r="F4" s="1">
        <v>0</v>
      </c>
      <c r="G4" s="1">
        <v>1.6666666666666667</v>
      </c>
      <c r="H4" s="1">
        <v>0</v>
      </c>
      <c r="I4" s="1">
        <v>12.866666666666665</v>
      </c>
      <c r="J4">
        <v>9</v>
      </c>
      <c r="K4" s="1">
        <f t="shared" si="1"/>
        <v>20.52923333333333</v>
      </c>
      <c r="L4" s="1">
        <v>0</v>
      </c>
      <c r="M4" s="1">
        <f t="shared" si="0"/>
        <v>20.52923333333333</v>
      </c>
      <c r="N4" t="str">
        <f t="shared" si="2"/>
        <v>RP</v>
      </c>
    </row>
    <row r="5" spans="1:14" x14ac:dyDescent="0.3">
      <c r="A5" t="s">
        <v>64</v>
      </c>
      <c r="B5" s="1">
        <v>5.9740000000000002</v>
      </c>
      <c r="C5" s="1">
        <v>7.333333333333333</v>
      </c>
      <c r="D5" s="1">
        <v>22</v>
      </c>
      <c r="E5" s="1">
        <v>52.24733333333333</v>
      </c>
      <c r="F5" s="1">
        <v>7.6</v>
      </c>
      <c r="G5" s="1">
        <v>7</v>
      </c>
      <c r="H5" s="1">
        <v>18</v>
      </c>
      <c r="I5" s="1">
        <v>47</v>
      </c>
      <c r="J5">
        <v>50</v>
      </c>
      <c r="K5" s="1">
        <f t="shared" si="1"/>
        <v>49.736566666666661</v>
      </c>
      <c r="L5" s="1">
        <v>0</v>
      </c>
      <c r="M5" s="1">
        <f t="shared" si="0"/>
        <v>49.736566666666661</v>
      </c>
      <c r="N5" t="str">
        <f t="shared" si="2"/>
        <v>RP</v>
      </c>
    </row>
    <row r="6" spans="1:14" x14ac:dyDescent="0.3">
      <c r="A6" t="s">
        <v>65</v>
      </c>
      <c r="B6" s="1">
        <v>6.6639999999999997</v>
      </c>
      <c r="C6" s="1">
        <v>8.6666666666666661</v>
      </c>
      <c r="D6" s="1">
        <v>4</v>
      </c>
      <c r="E6" s="1">
        <v>33.594666666666662</v>
      </c>
      <c r="F6" s="1">
        <v>6.4</v>
      </c>
      <c r="G6" s="1">
        <v>0.33333333333333331</v>
      </c>
      <c r="H6" s="1">
        <v>0</v>
      </c>
      <c r="I6" s="1">
        <v>11.733333333333336</v>
      </c>
      <c r="J6">
        <v>12</v>
      </c>
      <c r="K6" s="1">
        <f t="shared" si="1"/>
        <v>19.464799999999997</v>
      </c>
      <c r="L6" s="1">
        <v>0</v>
      </c>
      <c r="M6" s="1">
        <f t="shared" si="0"/>
        <v>19.464799999999997</v>
      </c>
      <c r="N6" t="str">
        <f t="shared" si="2"/>
        <v>RP</v>
      </c>
    </row>
    <row r="7" spans="1:14" x14ac:dyDescent="0.3">
      <c r="A7" t="s">
        <v>66</v>
      </c>
      <c r="B7" s="1">
        <v>7.2080000000000002</v>
      </c>
      <c r="C7" s="1">
        <v>10</v>
      </c>
      <c r="D7" s="1">
        <v>16</v>
      </c>
      <c r="E7" s="1">
        <v>45.763999999999996</v>
      </c>
      <c r="F7" s="1">
        <v>8.4</v>
      </c>
      <c r="G7" s="1">
        <v>11.333333333333334</v>
      </c>
      <c r="H7" s="1">
        <v>21</v>
      </c>
      <c r="I7" s="1">
        <v>56.800000000000004</v>
      </c>
      <c r="J7">
        <v>51</v>
      </c>
      <c r="K7" s="1">
        <f t="shared" si="1"/>
        <v>51.197399999999995</v>
      </c>
      <c r="L7" s="1">
        <v>48</v>
      </c>
      <c r="M7" s="1">
        <f t="shared" si="0"/>
        <v>51.98</v>
      </c>
      <c r="N7" t="str">
        <f t="shared" si="2"/>
        <v>RP</v>
      </c>
    </row>
    <row r="8" spans="1:14" x14ac:dyDescent="0.3">
      <c r="A8" t="s">
        <v>67</v>
      </c>
      <c r="B8" s="1">
        <v>7.2720000000000002</v>
      </c>
      <c r="C8" s="1">
        <v>3</v>
      </c>
      <c r="D8" s="1">
        <v>8</v>
      </c>
      <c r="E8" s="1">
        <v>36.556000000000004</v>
      </c>
      <c r="F8" s="1">
        <v>7.6</v>
      </c>
      <c r="G8" s="1">
        <v>4</v>
      </c>
      <c r="H8" s="1">
        <v>0</v>
      </c>
      <c r="I8" s="1">
        <v>28.166666666666664</v>
      </c>
      <c r="J8">
        <v>48</v>
      </c>
      <c r="K8" s="1">
        <f t="shared" si="1"/>
        <v>37.052933333333328</v>
      </c>
      <c r="L8" s="1">
        <v>0</v>
      </c>
      <c r="M8" s="1">
        <f t="shared" si="0"/>
        <v>37.052933333333328</v>
      </c>
      <c r="N8" t="str">
        <f t="shared" si="2"/>
        <v>RP</v>
      </c>
    </row>
    <row r="9" spans="1:14" x14ac:dyDescent="0.3">
      <c r="A9" t="s">
        <v>68</v>
      </c>
      <c r="B9" s="1">
        <v>8.9380000000000006</v>
      </c>
      <c r="C9" s="1">
        <v>7</v>
      </c>
      <c r="D9" s="1">
        <v>21</v>
      </c>
      <c r="E9" s="1">
        <v>58.71</v>
      </c>
      <c r="F9" s="1">
        <v>8</v>
      </c>
      <c r="G9" s="1">
        <v>12.333333333333334</v>
      </c>
      <c r="H9" s="1">
        <v>26</v>
      </c>
      <c r="I9" s="1">
        <v>67.933333333333337</v>
      </c>
      <c r="J9">
        <v>68</v>
      </c>
      <c r="K9" s="1">
        <f t="shared" si="1"/>
        <v>64.725166666666667</v>
      </c>
      <c r="L9" s="1">
        <v>0</v>
      </c>
      <c r="M9" s="1">
        <f t="shared" si="0"/>
        <v>64.725166666666667</v>
      </c>
      <c r="N9" t="str">
        <f t="shared" si="2"/>
        <v>AP</v>
      </c>
    </row>
    <row r="10" spans="1:14" x14ac:dyDescent="0.3">
      <c r="A10" t="s">
        <v>69</v>
      </c>
      <c r="B10" s="1">
        <v>8.8000000000000007</v>
      </c>
      <c r="C10" s="1">
        <v>11.666666666666666</v>
      </c>
      <c r="D10" s="1">
        <v>19</v>
      </c>
      <c r="E10" s="1">
        <v>58.866666666666667</v>
      </c>
      <c r="F10" s="1">
        <v>8.8000000000000007</v>
      </c>
      <c r="G10" s="1">
        <v>12.333333333333334</v>
      </c>
      <c r="H10" s="1">
        <v>29</v>
      </c>
      <c r="I10" s="1">
        <v>71.133333333333326</v>
      </c>
      <c r="J10">
        <v>57</v>
      </c>
      <c r="K10" s="1">
        <f t="shared" si="1"/>
        <v>62.599999999999994</v>
      </c>
      <c r="L10" s="1">
        <v>0</v>
      </c>
      <c r="M10" s="1">
        <f t="shared" si="0"/>
        <v>62.599999999999994</v>
      </c>
      <c r="N10" t="str">
        <f t="shared" si="2"/>
        <v>AP</v>
      </c>
    </row>
    <row r="11" spans="1:14" x14ac:dyDescent="0.3">
      <c r="A11" t="s">
        <v>70</v>
      </c>
      <c r="B11" s="1">
        <v>7.7519999999999998</v>
      </c>
      <c r="C11" s="1">
        <v>5.666666666666667</v>
      </c>
      <c r="D11" s="1">
        <v>6</v>
      </c>
      <c r="E11" s="1">
        <v>36.190666666666672</v>
      </c>
      <c r="F11" s="1">
        <v>0</v>
      </c>
      <c r="G11" s="1">
        <v>0</v>
      </c>
      <c r="H11" s="1">
        <v>0</v>
      </c>
      <c r="I11" s="1">
        <v>6.8666666666666671</v>
      </c>
      <c r="J11">
        <v>6</v>
      </c>
      <c r="K11" s="1">
        <f t="shared" si="1"/>
        <v>16.870066666666666</v>
      </c>
      <c r="L11" s="1">
        <v>0</v>
      </c>
      <c r="M11" s="1">
        <f t="shared" si="0"/>
        <v>16.870066666666666</v>
      </c>
      <c r="N11" t="str">
        <f t="shared" si="2"/>
        <v>RP</v>
      </c>
    </row>
    <row r="12" spans="1:14" x14ac:dyDescent="0.3">
      <c r="A12" t="s">
        <v>71</v>
      </c>
      <c r="B12" s="1">
        <v>8.08</v>
      </c>
      <c r="C12" s="1">
        <v>9.3333333333333339</v>
      </c>
      <c r="D12" s="1">
        <v>28</v>
      </c>
      <c r="E12" s="1">
        <v>62.497333333333337</v>
      </c>
      <c r="F12" s="1">
        <v>7.6</v>
      </c>
      <c r="G12" s="1">
        <v>5.333333333333333</v>
      </c>
      <c r="H12" s="1">
        <v>20</v>
      </c>
      <c r="I12" s="1">
        <v>52.433333333333337</v>
      </c>
      <c r="J12">
        <v>21</v>
      </c>
      <c r="K12" s="1">
        <f t="shared" si="1"/>
        <v>46.525733333333328</v>
      </c>
      <c r="L12" s="1">
        <v>0</v>
      </c>
      <c r="M12" s="1">
        <f t="shared" si="0"/>
        <v>46.525733333333328</v>
      </c>
      <c r="N12" t="str">
        <f t="shared" si="2"/>
        <v>RP</v>
      </c>
    </row>
    <row r="13" spans="1:14" x14ac:dyDescent="0.3">
      <c r="A13" t="s">
        <v>72</v>
      </c>
      <c r="B13" s="1">
        <v>5.9159999999999995</v>
      </c>
      <c r="C13" s="1">
        <v>12.333333333333334</v>
      </c>
      <c r="D13" s="1">
        <v>20</v>
      </c>
      <c r="E13" s="1">
        <v>57.237333333333332</v>
      </c>
      <c r="F13" s="1">
        <v>9.1999999999999993</v>
      </c>
      <c r="G13" s="1">
        <v>19.333333333333332</v>
      </c>
      <c r="H13" s="1">
        <v>26</v>
      </c>
      <c r="I13" s="1">
        <v>76.7</v>
      </c>
      <c r="J13">
        <v>48</v>
      </c>
      <c r="K13" s="1">
        <f t="shared" si="1"/>
        <v>61.27806666666666</v>
      </c>
      <c r="L13" s="1">
        <v>0</v>
      </c>
      <c r="M13" s="1">
        <f t="shared" si="0"/>
        <v>61.27806666666666</v>
      </c>
      <c r="N13" t="str">
        <f t="shared" si="2"/>
        <v>AP</v>
      </c>
    </row>
    <row r="14" spans="1:14" x14ac:dyDescent="0.3">
      <c r="A14" t="s">
        <v>73</v>
      </c>
      <c r="B14" s="1">
        <v>5.742</v>
      </c>
      <c r="C14" s="1">
        <v>5</v>
      </c>
      <c r="D14" s="1">
        <v>18</v>
      </c>
      <c r="E14" s="1">
        <v>43.066000000000003</v>
      </c>
      <c r="F14" s="1">
        <v>6.6</v>
      </c>
      <c r="G14" s="1">
        <v>5</v>
      </c>
      <c r="H14" s="1">
        <v>0</v>
      </c>
      <c r="I14" s="1">
        <v>27.2</v>
      </c>
      <c r="J14">
        <v>18</v>
      </c>
      <c r="K14" s="1">
        <f t="shared" si="1"/>
        <v>29.993099999999998</v>
      </c>
      <c r="L14" s="1">
        <v>0</v>
      </c>
      <c r="M14" s="1">
        <f t="shared" si="0"/>
        <v>29.993099999999998</v>
      </c>
      <c r="N14" t="str">
        <f t="shared" si="2"/>
        <v>RP</v>
      </c>
    </row>
    <row r="15" spans="1:14" x14ac:dyDescent="0.3">
      <c r="A15" t="s">
        <v>74</v>
      </c>
      <c r="B15" s="1">
        <v>0</v>
      </c>
      <c r="C15" s="1">
        <v>9.3333333333333339</v>
      </c>
      <c r="D15" s="1">
        <v>14</v>
      </c>
      <c r="E15" s="1">
        <v>32.033333333333331</v>
      </c>
      <c r="F15" s="1">
        <v>0</v>
      </c>
      <c r="G15" s="1">
        <v>5</v>
      </c>
      <c r="H15" s="1">
        <v>12</v>
      </c>
      <c r="I15" s="1">
        <v>23.6</v>
      </c>
      <c r="J15">
        <v>25</v>
      </c>
      <c r="K15" s="1">
        <f t="shared" si="1"/>
        <v>26.971666666666664</v>
      </c>
      <c r="L15" s="1">
        <v>0</v>
      </c>
      <c r="M15" s="1">
        <f t="shared" si="0"/>
        <v>26.971666666666664</v>
      </c>
      <c r="N15" t="str">
        <f t="shared" si="2"/>
        <v>RP</v>
      </c>
    </row>
    <row r="16" spans="1:14" x14ac:dyDescent="0.3">
      <c r="A16" t="s">
        <v>75</v>
      </c>
      <c r="B16" s="1">
        <v>9.5920000000000023</v>
      </c>
      <c r="C16" s="1">
        <v>11</v>
      </c>
      <c r="D16" s="1">
        <v>6</v>
      </c>
      <c r="E16" s="1">
        <v>49.2</v>
      </c>
      <c r="F16" s="1">
        <v>8</v>
      </c>
      <c r="G16" s="1">
        <v>7.333333333333333</v>
      </c>
      <c r="H16" s="1">
        <v>32</v>
      </c>
      <c r="I16" s="1">
        <v>64.26666666666668</v>
      </c>
      <c r="J16">
        <v>86</v>
      </c>
      <c r="K16" s="1">
        <f t="shared" si="1"/>
        <v>65.513333333333335</v>
      </c>
      <c r="L16" s="1">
        <v>0</v>
      </c>
      <c r="M16" s="1">
        <f t="shared" si="0"/>
        <v>65.513333333333335</v>
      </c>
      <c r="N16" t="str">
        <f t="shared" si="2"/>
        <v>AP</v>
      </c>
    </row>
    <row r="17" spans="1:14" x14ac:dyDescent="0.3">
      <c r="A17" t="s">
        <v>76</v>
      </c>
      <c r="B17" s="1">
        <v>5.05</v>
      </c>
      <c r="C17" s="1">
        <v>9.6666666666666661</v>
      </c>
      <c r="D17" s="1">
        <v>16</v>
      </c>
      <c r="E17" s="1">
        <v>50.422666666666665</v>
      </c>
      <c r="F17" s="1">
        <v>7.2</v>
      </c>
      <c r="G17" s="1">
        <v>2.6666666666666665</v>
      </c>
      <c r="H17" s="1">
        <v>0</v>
      </c>
      <c r="I17" s="1">
        <v>28.966666666666665</v>
      </c>
      <c r="J17">
        <v>26</v>
      </c>
      <c r="K17" s="1">
        <f t="shared" si="1"/>
        <v>35.58626666666666</v>
      </c>
      <c r="L17" s="1">
        <v>0</v>
      </c>
      <c r="M17" s="1">
        <f t="shared" si="0"/>
        <v>35.58626666666666</v>
      </c>
      <c r="N17" t="str">
        <f t="shared" si="2"/>
        <v>RP</v>
      </c>
    </row>
    <row r="18" spans="1:14" x14ac:dyDescent="0.3">
      <c r="A18" t="s">
        <v>77</v>
      </c>
      <c r="B18" s="1">
        <v>8.16</v>
      </c>
      <c r="C18" s="1">
        <v>9.3333333333333339</v>
      </c>
      <c r="D18" s="1">
        <v>13</v>
      </c>
      <c r="E18" s="1">
        <v>49.68533333333334</v>
      </c>
      <c r="F18" s="1">
        <v>8</v>
      </c>
      <c r="G18" s="1">
        <v>7</v>
      </c>
      <c r="H18" s="1">
        <v>17</v>
      </c>
      <c r="I18" s="1">
        <v>49.5</v>
      </c>
      <c r="J18">
        <v>45</v>
      </c>
      <c r="K18" s="1">
        <f t="shared" si="1"/>
        <v>48.214866666666666</v>
      </c>
      <c r="L18" s="1">
        <v>50</v>
      </c>
      <c r="M18" s="1">
        <f t="shared" si="0"/>
        <v>48.38986666666667</v>
      </c>
      <c r="N18" t="str">
        <f t="shared" si="2"/>
        <v>RP</v>
      </c>
    </row>
    <row r="19" spans="1:14" x14ac:dyDescent="0.3">
      <c r="A19" t="s">
        <v>78</v>
      </c>
      <c r="B19" s="1">
        <v>7.9559999999999995</v>
      </c>
      <c r="C19" s="1">
        <v>11.333333333333334</v>
      </c>
      <c r="D19" s="1">
        <v>16</v>
      </c>
      <c r="E19" s="1">
        <v>53.68933333333333</v>
      </c>
      <c r="F19" s="1">
        <v>8.6</v>
      </c>
      <c r="G19" s="1">
        <v>10.666666666666666</v>
      </c>
      <c r="H19" s="1">
        <v>15</v>
      </c>
      <c r="I19" s="1">
        <v>51.333333333333329</v>
      </c>
      <c r="J19">
        <v>32</v>
      </c>
      <c r="K19" s="1">
        <f t="shared" si="1"/>
        <v>46.357933333333328</v>
      </c>
      <c r="L19" s="1">
        <v>49</v>
      </c>
      <c r="M19" s="1">
        <f t="shared" si="0"/>
        <v>46.357933333333328</v>
      </c>
      <c r="N19" t="str">
        <f t="shared" si="2"/>
        <v>RP</v>
      </c>
    </row>
    <row r="20" spans="1:14" x14ac:dyDescent="0.3">
      <c r="A20" t="s">
        <v>79</v>
      </c>
      <c r="B20" s="1">
        <v>8.9439999999999991</v>
      </c>
      <c r="C20" s="1">
        <v>17</v>
      </c>
      <c r="D20" s="1">
        <v>23</v>
      </c>
      <c r="E20" s="1">
        <v>71.992000000000004</v>
      </c>
      <c r="F20" s="1">
        <v>8.8000000000000007</v>
      </c>
      <c r="G20" s="1">
        <v>13.333333333333334</v>
      </c>
      <c r="H20" s="1">
        <v>30</v>
      </c>
      <c r="I20" s="1">
        <v>76.833333333333343</v>
      </c>
      <c r="J20">
        <v>57</v>
      </c>
      <c r="K20" s="1">
        <f t="shared" si="1"/>
        <v>69.188866666666655</v>
      </c>
      <c r="L20" s="1">
        <v>61</v>
      </c>
      <c r="M20" s="1">
        <f t="shared" si="0"/>
        <v>69.188866666666655</v>
      </c>
      <c r="N20" t="str">
        <f t="shared" si="2"/>
        <v>AP</v>
      </c>
    </row>
    <row r="21" spans="1:14" x14ac:dyDescent="0.3">
      <c r="A21" t="s">
        <v>80</v>
      </c>
      <c r="B21" s="1">
        <v>7.8780000000000001</v>
      </c>
      <c r="C21" s="1">
        <v>11.666666666666666</v>
      </c>
      <c r="D21" s="1">
        <v>20</v>
      </c>
      <c r="E21" s="1">
        <v>53.621666666666663</v>
      </c>
      <c r="F21" s="1">
        <v>8.1999999999999993</v>
      </c>
      <c r="G21" s="1">
        <v>5.666666666666667</v>
      </c>
      <c r="H21" s="1">
        <v>21</v>
      </c>
      <c r="I21" s="1">
        <v>53.666666666666664</v>
      </c>
      <c r="J21">
        <v>43</v>
      </c>
      <c r="K21" s="1">
        <f t="shared" si="1"/>
        <v>50.450916666666657</v>
      </c>
      <c r="L21" s="1">
        <v>0</v>
      </c>
      <c r="M21" s="1">
        <f t="shared" si="0"/>
        <v>50.450916666666657</v>
      </c>
      <c r="N21" t="str">
        <f t="shared" si="2"/>
        <v>RP</v>
      </c>
    </row>
    <row r="22" spans="1:14" x14ac:dyDescent="0.3">
      <c r="A22" t="s">
        <v>81</v>
      </c>
      <c r="B22" s="1">
        <v>5.82</v>
      </c>
      <c r="C22" s="1">
        <v>9</v>
      </c>
      <c r="D22" s="1">
        <v>14</v>
      </c>
      <c r="E22" s="1">
        <v>48.228999999999999</v>
      </c>
      <c r="F22" s="1">
        <v>9.1999999999999993</v>
      </c>
      <c r="G22" s="1">
        <v>16</v>
      </c>
      <c r="H22" s="1">
        <v>12</v>
      </c>
      <c r="I22" s="1">
        <v>59.2</v>
      </c>
      <c r="J22">
        <v>47</v>
      </c>
      <c r="K22" s="1">
        <f t="shared" si="1"/>
        <v>51.700150000000001</v>
      </c>
      <c r="L22" s="1">
        <v>44</v>
      </c>
      <c r="M22" s="1">
        <f t="shared" si="0"/>
        <v>51.700150000000001</v>
      </c>
      <c r="N22" t="str">
        <f t="shared" si="2"/>
        <v>RP</v>
      </c>
    </row>
    <row r="23" spans="1:14" x14ac:dyDescent="0.3">
      <c r="A23" t="s">
        <v>82</v>
      </c>
      <c r="B23" s="1">
        <v>7.5659999999999998</v>
      </c>
      <c r="C23" s="1">
        <v>13</v>
      </c>
      <c r="D23" s="1">
        <v>21</v>
      </c>
      <c r="E23" s="1">
        <v>61.66</v>
      </c>
      <c r="F23" s="1">
        <v>8.6</v>
      </c>
      <c r="G23" s="1">
        <v>6.666666666666667</v>
      </c>
      <c r="H23" s="1">
        <v>19</v>
      </c>
      <c r="I23" s="1">
        <v>53.133333333333333</v>
      </c>
      <c r="J23">
        <v>28</v>
      </c>
      <c r="K23" s="1">
        <f t="shared" si="1"/>
        <v>48.577666666666659</v>
      </c>
      <c r="L23" s="1">
        <v>0</v>
      </c>
      <c r="M23" s="1">
        <f t="shared" si="0"/>
        <v>48.577666666666659</v>
      </c>
      <c r="N23" t="str">
        <f t="shared" si="2"/>
        <v>RP</v>
      </c>
    </row>
    <row r="24" spans="1:14" x14ac:dyDescent="0.3">
      <c r="A24" t="s">
        <v>83</v>
      </c>
      <c r="B24" s="1">
        <v>7.4479999999999995</v>
      </c>
      <c r="C24" s="1">
        <v>5.333333333333333</v>
      </c>
      <c r="D24" s="1">
        <v>18</v>
      </c>
      <c r="E24" s="1">
        <v>47.309333333333328</v>
      </c>
      <c r="F24" s="1">
        <v>8.1999999999999993</v>
      </c>
      <c r="G24" s="1">
        <v>7</v>
      </c>
      <c r="H24" s="1">
        <v>27</v>
      </c>
      <c r="I24" s="1">
        <v>58.5</v>
      </c>
      <c r="J24">
        <v>32</v>
      </c>
      <c r="K24" s="1">
        <f t="shared" si="1"/>
        <v>46.633266666666664</v>
      </c>
      <c r="L24" s="1">
        <v>0</v>
      </c>
      <c r="M24" s="1">
        <f t="shared" si="0"/>
        <v>46.633266666666664</v>
      </c>
      <c r="N24" t="str">
        <f t="shared" si="2"/>
        <v>RP</v>
      </c>
    </row>
    <row r="25" spans="1:14" x14ac:dyDescent="0.3">
      <c r="A25" t="s">
        <v>84</v>
      </c>
      <c r="B25" s="1">
        <v>8.363999999999999</v>
      </c>
      <c r="C25" s="1">
        <v>4</v>
      </c>
      <c r="D25" s="1">
        <v>14</v>
      </c>
      <c r="E25" s="1">
        <v>47.546999999999997</v>
      </c>
      <c r="F25" s="1">
        <v>8</v>
      </c>
      <c r="G25" s="1">
        <v>9</v>
      </c>
      <c r="H25" s="1">
        <v>17</v>
      </c>
      <c r="I25" s="1">
        <v>54.733333333333334</v>
      </c>
      <c r="J25">
        <v>38</v>
      </c>
      <c r="K25" s="1">
        <f t="shared" si="1"/>
        <v>47.198116666666664</v>
      </c>
      <c r="L25" s="1">
        <v>0</v>
      </c>
      <c r="M25" s="1">
        <f t="shared" si="0"/>
        <v>47.198116666666664</v>
      </c>
      <c r="N25" t="str">
        <f t="shared" si="2"/>
        <v>RP</v>
      </c>
    </row>
    <row r="26" spans="1:14" x14ac:dyDescent="0.3">
      <c r="A26" t="s">
        <v>85</v>
      </c>
      <c r="B26" s="1">
        <v>8.16</v>
      </c>
      <c r="C26" s="1">
        <v>6</v>
      </c>
      <c r="D26" s="1">
        <v>7</v>
      </c>
      <c r="E26" s="1">
        <v>40.46</v>
      </c>
      <c r="F26" s="1">
        <v>8</v>
      </c>
      <c r="G26" s="1">
        <v>1</v>
      </c>
      <c r="H26" s="1">
        <v>0</v>
      </c>
      <c r="I26" s="1">
        <v>16.666666666666668</v>
      </c>
      <c r="J26">
        <v>13</v>
      </c>
      <c r="K26" s="1">
        <f t="shared" si="1"/>
        <v>23.894333333333329</v>
      </c>
      <c r="L26" s="1">
        <v>0</v>
      </c>
      <c r="M26" s="1">
        <f t="shared" si="0"/>
        <v>23.894333333333329</v>
      </c>
      <c r="N26" t="str">
        <f t="shared" si="2"/>
        <v>RP</v>
      </c>
    </row>
    <row r="27" spans="1:14" x14ac:dyDescent="0.3">
      <c r="A27" t="s">
        <v>86</v>
      </c>
      <c r="B27" s="1">
        <v>9.5040000000000013</v>
      </c>
      <c r="C27" s="1">
        <v>2.3333333333333335</v>
      </c>
      <c r="D27" s="1">
        <v>3</v>
      </c>
      <c r="E27" s="1">
        <v>31.061333333333334</v>
      </c>
      <c r="F27" s="1">
        <v>0</v>
      </c>
      <c r="G27" s="1">
        <v>0</v>
      </c>
      <c r="H27" s="1">
        <v>0</v>
      </c>
      <c r="I27" s="1">
        <v>2.6</v>
      </c>
      <c r="J27">
        <v>6</v>
      </c>
      <c r="K27" s="1">
        <f t="shared" si="1"/>
        <v>13.581466666666664</v>
      </c>
      <c r="L27" s="1">
        <v>0</v>
      </c>
      <c r="M27" s="1">
        <f t="shared" si="0"/>
        <v>13.581466666666664</v>
      </c>
      <c r="N27" t="str">
        <f t="shared" si="2"/>
        <v>RP</v>
      </c>
    </row>
    <row r="28" spans="1:14" x14ac:dyDescent="0.3">
      <c r="A28" t="s">
        <v>87</v>
      </c>
      <c r="B28" s="1">
        <v>7.6259999999999994</v>
      </c>
      <c r="C28" s="1">
        <v>3</v>
      </c>
      <c r="D28" s="1">
        <v>13</v>
      </c>
      <c r="E28" s="1">
        <v>38.765999999999998</v>
      </c>
      <c r="F28" s="1">
        <v>7.2</v>
      </c>
      <c r="G28" s="1">
        <v>0.66666666666666663</v>
      </c>
      <c r="H28" s="1">
        <v>0</v>
      </c>
      <c r="I28" s="1">
        <v>18.533333333333335</v>
      </c>
      <c r="J28">
        <v>19</v>
      </c>
      <c r="K28" s="1">
        <f t="shared" si="1"/>
        <v>25.754766666666665</v>
      </c>
      <c r="L28" s="1">
        <v>0</v>
      </c>
      <c r="M28" s="1">
        <f t="shared" si="0"/>
        <v>25.754766666666665</v>
      </c>
      <c r="N28" t="str">
        <f t="shared" si="2"/>
        <v>RP</v>
      </c>
    </row>
    <row r="29" spans="1:14" x14ac:dyDescent="0.3">
      <c r="A29" t="s">
        <v>88</v>
      </c>
      <c r="B29" s="1">
        <v>5.9159999999999995</v>
      </c>
      <c r="C29" s="1">
        <v>13</v>
      </c>
      <c r="D29" s="1">
        <v>27</v>
      </c>
      <c r="E29" s="1">
        <v>67.123999999999995</v>
      </c>
      <c r="F29" s="1">
        <v>10.579999999999998</v>
      </c>
      <c r="G29" s="1">
        <v>8.3333333333333339</v>
      </c>
      <c r="H29" s="1">
        <v>22</v>
      </c>
      <c r="I29" s="1">
        <v>59.25333333333333</v>
      </c>
      <c r="J29">
        <v>51</v>
      </c>
      <c r="K29" s="1">
        <f t="shared" si="1"/>
        <v>59.532066666666658</v>
      </c>
      <c r="L29" s="1">
        <v>0</v>
      </c>
      <c r="M29" s="1">
        <f t="shared" si="0"/>
        <v>59.532066666666658</v>
      </c>
      <c r="N29" t="str">
        <f t="shared" si="2"/>
        <v>AP</v>
      </c>
    </row>
    <row r="30" spans="1:14" x14ac:dyDescent="0.3">
      <c r="A30" t="s">
        <v>89</v>
      </c>
      <c r="B30" s="1">
        <v>7.524</v>
      </c>
      <c r="C30" s="1">
        <v>10.333333333333334</v>
      </c>
      <c r="D30" s="1">
        <v>26</v>
      </c>
      <c r="E30" s="1">
        <v>66.155333333333331</v>
      </c>
      <c r="F30" s="1">
        <v>8.6</v>
      </c>
      <c r="G30" s="1">
        <v>14</v>
      </c>
      <c r="H30" s="1">
        <v>21</v>
      </c>
      <c r="I30" s="1">
        <v>61</v>
      </c>
      <c r="J30">
        <v>51</v>
      </c>
      <c r="K30" s="1">
        <f t="shared" si="1"/>
        <v>59.80436666666666</v>
      </c>
      <c r="L30" s="1">
        <v>0</v>
      </c>
      <c r="M30" s="1">
        <f t="shared" si="0"/>
        <v>59.80436666666666</v>
      </c>
      <c r="N30" t="str">
        <f t="shared" si="2"/>
        <v>AP</v>
      </c>
    </row>
    <row r="31" spans="1:14" x14ac:dyDescent="0.3">
      <c r="A31" t="s">
        <v>90</v>
      </c>
      <c r="B31" s="1">
        <v>7.8780000000000001</v>
      </c>
      <c r="C31" s="1">
        <v>8.3333333333333339</v>
      </c>
      <c r="D31" s="1">
        <v>14</v>
      </c>
      <c r="E31" s="1">
        <v>48.903333333333336</v>
      </c>
      <c r="F31" s="1">
        <v>8.6</v>
      </c>
      <c r="G31" s="1">
        <v>9</v>
      </c>
      <c r="H31" s="1">
        <v>16</v>
      </c>
      <c r="I31" s="1">
        <v>46.933333333333337</v>
      </c>
      <c r="J31">
        <v>30</v>
      </c>
      <c r="K31" s="1">
        <f t="shared" si="1"/>
        <v>42.542833333333334</v>
      </c>
      <c r="L31" s="1">
        <v>0</v>
      </c>
      <c r="M31" s="1">
        <f t="shared" si="0"/>
        <v>42.542833333333334</v>
      </c>
      <c r="N31" t="str">
        <f t="shared" si="2"/>
        <v>RP</v>
      </c>
    </row>
    <row r="32" spans="1:14" x14ac:dyDescent="0.3">
      <c r="A32" t="s">
        <v>91</v>
      </c>
      <c r="B32" s="1">
        <v>8.2680000000000007</v>
      </c>
      <c r="C32" s="1">
        <v>14</v>
      </c>
      <c r="D32" s="1">
        <v>12</v>
      </c>
      <c r="E32" s="1">
        <v>54.256</v>
      </c>
      <c r="F32" s="1">
        <v>8.4</v>
      </c>
      <c r="G32" s="1">
        <v>6</v>
      </c>
      <c r="H32" s="1">
        <v>28</v>
      </c>
      <c r="I32" s="1">
        <v>62.033333333333331</v>
      </c>
      <c r="J32">
        <v>63</v>
      </c>
      <c r="K32" s="1">
        <f t="shared" si="1"/>
        <v>59.60126666666666</v>
      </c>
      <c r="L32" s="1">
        <v>0</v>
      </c>
      <c r="M32" s="1">
        <f t="shared" si="0"/>
        <v>59.60126666666666</v>
      </c>
      <c r="N32" t="str">
        <f t="shared" si="2"/>
        <v>AP</v>
      </c>
    </row>
    <row r="33" spans="1:14" x14ac:dyDescent="0.3">
      <c r="A33" t="s">
        <v>92</v>
      </c>
      <c r="B33" s="1">
        <v>8.6</v>
      </c>
      <c r="C33" s="1">
        <v>12.666666666666666</v>
      </c>
      <c r="D33" s="1">
        <v>14</v>
      </c>
      <c r="E33" s="1">
        <v>55.766666666666666</v>
      </c>
      <c r="F33" s="1">
        <v>8.8000000000000007</v>
      </c>
      <c r="G33" s="1">
        <v>9.6666666666666661</v>
      </c>
      <c r="H33" s="1">
        <v>23</v>
      </c>
      <c r="I33" s="1">
        <v>60.6</v>
      </c>
      <c r="J33">
        <v>29</v>
      </c>
      <c r="K33" s="1">
        <f t="shared" si="1"/>
        <v>49.428333333333327</v>
      </c>
      <c r="L33" s="1">
        <v>56</v>
      </c>
      <c r="M33" s="1">
        <f t="shared" si="0"/>
        <v>49.510000000000005</v>
      </c>
      <c r="N33" t="str">
        <f t="shared" si="2"/>
        <v>RP</v>
      </c>
    </row>
    <row r="34" spans="1:14" x14ac:dyDescent="0.3">
      <c r="A34" t="s">
        <v>93</v>
      </c>
      <c r="B34" s="1">
        <v>7.8</v>
      </c>
      <c r="C34" s="1">
        <v>12</v>
      </c>
      <c r="D34" s="1">
        <v>16</v>
      </c>
      <c r="E34" s="1">
        <v>54.099999999999994</v>
      </c>
      <c r="F34" s="1">
        <v>8.1999999999999993</v>
      </c>
      <c r="G34" s="1">
        <v>9.3333333333333339</v>
      </c>
      <c r="H34" s="1">
        <v>30</v>
      </c>
      <c r="I34" s="1">
        <v>67.300000000000011</v>
      </c>
      <c r="J34">
        <v>46</v>
      </c>
      <c r="K34" s="1">
        <f t="shared" si="1"/>
        <v>56.29</v>
      </c>
      <c r="L34" s="1">
        <v>75</v>
      </c>
      <c r="M34" s="1">
        <f t="shared" si="0"/>
        <v>63.604999999999997</v>
      </c>
      <c r="N34" t="str">
        <f t="shared" si="2"/>
        <v>AP</v>
      </c>
    </row>
    <row r="35" spans="1:14" x14ac:dyDescent="0.3">
      <c r="A35" t="s">
        <v>94</v>
      </c>
      <c r="B35" s="1">
        <v>7.2</v>
      </c>
      <c r="C35" s="1">
        <v>13</v>
      </c>
      <c r="D35" s="1">
        <v>14</v>
      </c>
      <c r="E35" s="1">
        <v>49</v>
      </c>
      <c r="F35" s="1">
        <v>6.6</v>
      </c>
      <c r="G35" s="1">
        <v>6</v>
      </c>
      <c r="H35" s="1">
        <v>16</v>
      </c>
      <c r="I35" s="1">
        <v>39.099999999999994</v>
      </c>
      <c r="J35">
        <v>21</v>
      </c>
      <c r="K35" s="1">
        <f t="shared" si="1"/>
        <v>37.134999999999998</v>
      </c>
      <c r="L35" s="1">
        <v>0</v>
      </c>
      <c r="M35" s="1">
        <f t="shared" si="0"/>
        <v>37.134999999999998</v>
      </c>
      <c r="N35" t="str">
        <f t="shared" si="2"/>
        <v>RP</v>
      </c>
    </row>
    <row r="36" spans="1:14" x14ac:dyDescent="0.3">
      <c r="A36" t="s">
        <v>95</v>
      </c>
      <c r="B36" s="1">
        <v>7.6759999999999993</v>
      </c>
      <c r="C36" s="1">
        <v>12</v>
      </c>
      <c r="D36" s="1">
        <v>25</v>
      </c>
      <c r="E36" s="1">
        <v>63.423000000000002</v>
      </c>
      <c r="F36" s="1">
        <v>8.1999999999999993</v>
      </c>
      <c r="G36" s="1">
        <v>9.3333333333333339</v>
      </c>
      <c r="H36" s="1">
        <v>23</v>
      </c>
      <c r="I36" s="1">
        <v>60.733333333333334</v>
      </c>
      <c r="J36">
        <v>40</v>
      </c>
      <c r="K36" s="1">
        <f t="shared" si="1"/>
        <v>55.454716666666663</v>
      </c>
      <c r="L36" s="1">
        <v>58</v>
      </c>
      <c r="M36" s="1">
        <f t="shared" si="0"/>
        <v>55.45471666666667</v>
      </c>
      <c r="N36" t="str">
        <f t="shared" si="2"/>
        <v>RP</v>
      </c>
    </row>
    <row r="37" spans="1:14" x14ac:dyDescent="0.3">
      <c r="A37" t="s">
        <v>96</v>
      </c>
      <c r="B37" s="1">
        <v>7.2959999999999994</v>
      </c>
      <c r="C37" s="1">
        <v>10.333333333333334</v>
      </c>
      <c r="D37" s="1">
        <v>13</v>
      </c>
      <c r="E37" s="1">
        <v>48.501333333333335</v>
      </c>
      <c r="F37" s="1">
        <v>7.6</v>
      </c>
      <c r="G37" s="1">
        <v>8.3333333333333339</v>
      </c>
      <c r="H37" s="1">
        <v>15</v>
      </c>
      <c r="I37" s="1">
        <v>50.133333333333333</v>
      </c>
      <c r="J37">
        <v>30</v>
      </c>
      <c r="K37" s="1">
        <f t="shared" si="1"/>
        <v>43.522133333333336</v>
      </c>
      <c r="L37" s="1">
        <v>0</v>
      </c>
      <c r="M37" s="1">
        <f t="shared" si="0"/>
        <v>43.522133333333336</v>
      </c>
      <c r="N37" t="str">
        <f t="shared" si="2"/>
        <v>RP</v>
      </c>
    </row>
    <row r="38" spans="1:14" x14ac:dyDescent="0.3">
      <c r="A38" t="s">
        <v>97</v>
      </c>
      <c r="B38" s="1">
        <v>7.3440000000000003</v>
      </c>
      <c r="C38" s="1">
        <v>4</v>
      </c>
      <c r="D38" s="1">
        <v>11</v>
      </c>
      <c r="E38" s="1">
        <v>37.616</v>
      </c>
      <c r="F38" s="1">
        <v>6</v>
      </c>
      <c r="G38" s="1">
        <v>3.3333333333333335</v>
      </c>
      <c r="H38" s="1">
        <v>7</v>
      </c>
      <c r="I38" s="1">
        <v>30.533333333333331</v>
      </c>
      <c r="J38">
        <v>25</v>
      </c>
      <c r="K38" s="1">
        <f t="shared" si="1"/>
        <v>31.352266666666665</v>
      </c>
      <c r="L38" s="1">
        <v>0</v>
      </c>
      <c r="M38" s="1">
        <f t="shared" si="0"/>
        <v>31.352266666666665</v>
      </c>
      <c r="N38" t="str">
        <f t="shared" si="2"/>
        <v>RP</v>
      </c>
    </row>
    <row r="39" spans="1:14" x14ac:dyDescent="0.3">
      <c r="A39" t="s">
        <v>98</v>
      </c>
      <c r="B39" s="1">
        <v>0</v>
      </c>
      <c r="C39" s="1">
        <v>3.6666666666666665</v>
      </c>
      <c r="D39" s="1">
        <v>0</v>
      </c>
      <c r="E39" s="1">
        <v>5.5666666666666664</v>
      </c>
      <c r="F39" s="1">
        <v>0</v>
      </c>
      <c r="G39" s="1">
        <v>0</v>
      </c>
      <c r="H39" s="1">
        <v>0</v>
      </c>
      <c r="I39" s="1">
        <v>0</v>
      </c>
      <c r="J39">
        <v>0</v>
      </c>
      <c r="K39" s="1">
        <f t="shared" si="1"/>
        <v>1.948333333333333</v>
      </c>
      <c r="L39" s="1">
        <v>0</v>
      </c>
      <c r="M39" s="1">
        <f t="shared" si="0"/>
        <v>1.948333333333333</v>
      </c>
      <c r="N39" t="str">
        <f t="shared" si="2"/>
        <v>RP</v>
      </c>
    </row>
    <row r="40" spans="1:14" x14ac:dyDescent="0.3">
      <c r="A40" t="s">
        <v>99</v>
      </c>
      <c r="B40" s="1">
        <v>9.1560000000000006</v>
      </c>
      <c r="C40" s="1">
        <v>8.6666666666666661</v>
      </c>
      <c r="D40" s="1">
        <v>16</v>
      </c>
      <c r="E40" s="1">
        <v>55.140666666666668</v>
      </c>
      <c r="F40" s="1">
        <v>8</v>
      </c>
      <c r="G40" s="1">
        <v>15</v>
      </c>
      <c r="H40" s="1">
        <v>18</v>
      </c>
      <c r="I40" s="1">
        <v>58.9</v>
      </c>
      <c r="J40">
        <v>91</v>
      </c>
      <c r="K40" s="1">
        <f t="shared" si="1"/>
        <v>67.214233333333326</v>
      </c>
      <c r="L40" s="1">
        <v>0</v>
      </c>
      <c r="M40" s="1">
        <f t="shared" si="0"/>
        <v>67.214233333333326</v>
      </c>
      <c r="N40" t="str">
        <f t="shared" si="2"/>
        <v>AP</v>
      </c>
    </row>
    <row r="41" spans="1:14" x14ac:dyDescent="0.3">
      <c r="A41" t="s">
        <v>100</v>
      </c>
      <c r="B41" s="1">
        <v>0</v>
      </c>
      <c r="C41" s="1">
        <v>1.6666666666666667</v>
      </c>
      <c r="D41" s="1">
        <v>0</v>
      </c>
      <c r="E41" s="1">
        <v>6.8666666666666671</v>
      </c>
      <c r="F41" s="1">
        <v>0</v>
      </c>
      <c r="G41" s="1">
        <v>0</v>
      </c>
      <c r="H41" s="1">
        <v>0</v>
      </c>
      <c r="I41" s="1">
        <v>0</v>
      </c>
      <c r="J41">
        <v>0</v>
      </c>
      <c r="K41" s="1">
        <f t="shared" si="1"/>
        <v>2.4033333333333333</v>
      </c>
      <c r="L41" s="1">
        <v>0</v>
      </c>
      <c r="M41" s="1">
        <f t="shared" si="0"/>
        <v>2.4033333333333333</v>
      </c>
      <c r="N41" t="str">
        <f t="shared" si="2"/>
        <v>RP</v>
      </c>
    </row>
    <row r="42" spans="1:14" x14ac:dyDescent="0.3">
      <c r="A42" t="s">
        <v>101</v>
      </c>
      <c r="B42" s="1">
        <v>9.3740000000000006</v>
      </c>
      <c r="C42" s="1">
        <v>8.3333333333333339</v>
      </c>
      <c r="D42" s="1">
        <v>23</v>
      </c>
      <c r="E42" s="1">
        <v>61.289333333333332</v>
      </c>
      <c r="F42" s="1">
        <v>8</v>
      </c>
      <c r="G42" s="1">
        <v>10</v>
      </c>
      <c r="H42" s="1">
        <v>20</v>
      </c>
      <c r="I42" s="1">
        <v>57.866666666666667</v>
      </c>
      <c r="J42">
        <v>61</v>
      </c>
      <c r="K42" s="1">
        <f t="shared" si="1"/>
        <v>60.004599999999996</v>
      </c>
      <c r="L42" s="1">
        <v>0</v>
      </c>
      <c r="M42" s="1">
        <f t="shared" si="0"/>
        <v>60.004599999999996</v>
      </c>
      <c r="N42" t="str">
        <f t="shared" si="2"/>
        <v>AP</v>
      </c>
    </row>
    <row r="43" spans="1:14" x14ac:dyDescent="0.3">
      <c r="A43" t="s">
        <v>102</v>
      </c>
      <c r="B43" s="1">
        <v>7.84</v>
      </c>
      <c r="C43" s="1">
        <v>15.333333333333334</v>
      </c>
      <c r="D43" s="1">
        <v>10</v>
      </c>
      <c r="E43" s="1">
        <v>52.989333333333335</v>
      </c>
      <c r="F43" s="1">
        <v>8</v>
      </c>
      <c r="G43" s="1">
        <v>4.333333333333333</v>
      </c>
      <c r="H43" s="1">
        <v>0</v>
      </c>
      <c r="I43" s="1">
        <v>31.533333333333335</v>
      </c>
      <c r="J43">
        <v>48</v>
      </c>
      <c r="K43" s="1">
        <f t="shared" si="1"/>
        <v>43.982933333333328</v>
      </c>
      <c r="L43" s="1">
        <v>0</v>
      </c>
      <c r="M43" s="1">
        <f t="shared" si="0"/>
        <v>43.982933333333328</v>
      </c>
      <c r="N43" t="str">
        <f t="shared" si="2"/>
        <v>RP</v>
      </c>
    </row>
    <row r="44" spans="1:14" x14ac:dyDescent="0.3">
      <c r="B44" s="1"/>
      <c r="C44" s="1"/>
      <c r="D44" s="1"/>
      <c r="E44" s="1"/>
      <c r="F44" s="1"/>
      <c r="G44" s="1"/>
      <c r="H44" s="1"/>
      <c r="I44" s="1"/>
      <c r="N44" s="3"/>
    </row>
    <row r="45" spans="1:14" x14ac:dyDescent="0.3">
      <c r="B45" s="1"/>
      <c r="C45" s="1"/>
      <c r="D45" s="1"/>
      <c r="E45" s="1"/>
      <c r="F45" s="1"/>
      <c r="G45" s="1"/>
      <c r="H45" s="1"/>
      <c r="I45" s="1"/>
    </row>
    <row r="46" spans="1:14" x14ac:dyDescent="0.3">
      <c r="B46" s="1"/>
      <c r="C46" s="1"/>
      <c r="D46" s="1"/>
      <c r="E46" s="1"/>
      <c r="F46" s="1"/>
      <c r="G46" s="1"/>
      <c r="H46" s="1"/>
      <c r="I46" s="1"/>
    </row>
    <row r="47" spans="1:14" x14ac:dyDescent="0.3">
      <c r="B47" s="1"/>
      <c r="C47" s="1"/>
      <c r="D47" s="1"/>
      <c r="E47" s="1"/>
      <c r="F47" s="1"/>
      <c r="G47" s="1"/>
      <c r="H47" s="1"/>
      <c r="I47" s="1"/>
    </row>
    <row r="48" spans="1:14" x14ac:dyDescent="0.3">
      <c r="B48" s="1"/>
      <c r="C48" s="1"/>
      <c r="D48" s="1"/>
      <c r="E48" s="1"/>
      <c r="F48" s="1"/>
      <c r="G48" s="1"/>
      <c r="H48" s="1"/>
      <c r="I48" s="1"/>
    </row>
    <row r="49" spans="2:9" x14ac:dyDescent="0.3">
      <c r="B49" s="1"/>
      <c r="C49" s="1"/>
      <c r="D49" s="1"/>
      <c r="E49" s="1"/>
      <c r="F49" s="1"/>
      <c r="G49" s="1"/>
      <c r="H49" s="1"/>
      <c r="I49" s="1"/>
    </row>
    <row r="50" spans="2:9" x14ac:dyDescent="0.3">
      <c r="B50" s="1"/>
      <c r="C50" s="1"/>
      <c r="D50" s="1"/>
      <c r="E50" s="1"/>
      <c r="F50" s="1"/>
      <c r="G50" s="1"/>
      <c r="H50" s="1"/>
      <c r="I50" s="1"/>
    </row>
    <row r="51" spans="2:9" x14ac:dyDescent="0.3">
      <c r="B51" s="1"/>
      <c r="C51" s="1"/>
      <c r="D51" s="1"/>
      <c r="E51" s="1"/>
      <c r="F51" s="1"/>
      <c r="G51" s="1"/>
      <c r="H51" s="1"/>
      <c r="I51" s="1"/>
    </row>
    <row r="52" spans="2:9" x14ac:dyDescent="0.3">
      <c r="B52" s="1"/>
      <c r="C52" s="1"/>
      <c r="D52" s="1"/>
      <c r="E52" s="1"/>
      <c r="F52" s="1"/>
      <c r="G52" s="1"/>
      <c r="H52" s="1"/>
      <c r="I5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43C4-EA4F-4806-B013-93EEAF775219}">
  <dimension ref="A1:N52"/>
  <sheetViews>
    <sheetView topLeftCell="A19" workbookViewId="0">
      <selection activeCell="N50" sqref="N50"/>
    </sheetView>
  </sheetViews>
  <sheetFormatPr defaultRowHeight="14.4" x14ac:dyDescent="0.3"/>
  <cols>
    <col min="3" max="3" width="10.44140625" bestFit="1" customWidth="1"/>
  </cols>
  <sheetData>
    <row r="1" spans="1:14" ht="43.2" x14ac:dyDescent="0.3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297</v>
      </c>
      <c r="L1" s="2" t="s">
        <v>298</v>
      </c>
      <c r="M1" s="2" t="s">
        <v>299</v>
      </c>
      <c r="N1" s="2" t="s">
        <v>300</v>
      </c>
    </row>
    <row r="2" spans="1:14" x14ac:dyDescent="0.3">
      <c r="A2" t="s">
        <v>103</v>
      </c>
      <c r="B2" s="1">
        <v>3.5</v>
      </c>
      <c r="C2" s="1">
        <v>4.666666666666667</v>
      </c>
      <c r="D2" s="1">
        <v>6</v>
      </c>
      <c r="E2" s="1">
        <v>21.516666666666666</v>
      </c>
      <c r="F2" s="1">
        <v>0</v>
      </c>
      <c r="G2" s="1">
        <v>2.3333333333333335</v>
      </c>
      <c r="H2" s="1">
        <v>0</v>
      </c>
      <c r="I2" s="1">
        <v>2.3333333333333335</v>
      </c>
      <c r="J2">
        <v>4</v>
      </c>
      <c r="K2" s="1">
        <f>(0.3*J2)+((E2+I2)*0.35)</f>
        <v>9.5474999999999977</v>
      </c>
      <c r="L2" s="1">
        <v>0</v>
      </c>
      <c r="M2" s="1">
        <f>(0.7*(SUM(E2,I2,L2)-MIN(E2,I2,L2))/2)+(0.3*J2)</f>
        <v>9.5474999999999977</v>
      </c>
      <c r="N2" t="str">
        <f>IF(M2&gt;59.5,"AP","RP")</f>
        <v>RP</v>
      </c>
    </row>
    <row r="3" spans="1:14" x14ac:dyDescent="0.3">
      <c r="A3" t="s">
        <v>104</v>
      </c>
      <c r="B3" s="1">
        <v>7.5391545876000006</v>
      </c>
      <c r="C3" s="1">
        <v>15</v>
      </c>
      <c r="D3" s="1">
        <v>32</v>
      </c>
      <c r="E3" s="1">
        <v>77.030854414800004</v>
      </c>
      <c r="F3" s="1">
        <v>8.1503999999999994</v>
      </c>
      <c r="G3" s="1">
        <v>19</v>
      </c>
      <c r="H3" s="1">
        <v>23</v>
      </c>
      <c r="I3" s="1">
        <v>80.527599999999993</v>
      </c>
      <c r="J3">
        <v>55</v>
      </c>
      <c r="K3" s="1">
        <f t="shared" ref="K3:K49" si="0">(0.3*J3)+((E3+I3)*0.35)</f>
        <v>71.64545904517999</v>
      </c>
      <c r="L3" s="1">
        <v>0</v>
      </c>
      <c r="M3" s="1">
        <f t="shared" ref="M3:M49" si="1">(0.7*(SUM(E3,I3,L3)-MIN(E3,I3,L3))/2)+(0.3*J3)</f>
        <v>71.64545904517999</v>
      </c>
      <c r="N3" t="str">
        <f t="shared" ref="N3:N49" si="2">IF(M3&gt;59.5,"AP","RP")</f>
        <v>AP</v>
      </c>
    </row>
    <row r="4" spans="1:14" x14ac:dyDescent="0.3">
      <c r="A4" t="s">
        <v>105</v>
      </c>
      <c r="B4" s="1">
        <v>3.7</v>
      </c>
      <c r="C4" s="1">
        <v>5</v>
      </c>
      <c r="D4" s="1">
        <v>8</v>
      </c>
      <c r="E4" s="1">
        <v>23.048999999999999</v>
      </c>
      <c r="F4" s="1">
        <v>0</v>
      </c>
      <c r="G4" s="1">
        <v>0</v>
      </c>
      <c r="H4" s="1">
        <v>0</v>
      </c>
      <c r="I4" s="1">
        <v>0</v>
      </c>
      <c r="J4">
        <v>4</v>
      </c>
      <c r="K4" s="1">
        <f t="shared" si="0"/>
        <v>9.2671499999999991</v>
      </c>
      <c r="L4" s="1">
        <v>0</v>
      </c>
      <c r="M4" s="1">
        <f t="shared" si="1"/>
        <v>9.2671499999999991</v>
      </c>
      <c r="N4" t="str">
        <f t="shared" si="2"/>
        <v>RP</v>
      </c>
    </row>
    <row r="5" spans="1:14" x14ac:dyDescent="0.3">
      <c r="A5" t="s">
        <v>106</v>
      </c>
      <c r="B5" s="1">
        <v>5.8757782999999995</v>
      </c>
      <c r="C5" s="1">
        <v>8.6666666666666661</v>
      </c>
      <c r="D5" s="1">
        <v>17</v>
      </c>
      <c r="E5" s="1">
        <v>45.656620166666663</v>
      </c>
      <c r="F5" s="1">
        <v>7.919999999999999</v>
      </c>
      <c r="G5" s="1">
        <v>6</v>
      </c>
      <c r="H5" s="1">
        <v>12</v>
      </c>
      <c r="I5" s="1">
        <v>49.33</v>
      </c>
      <c r="J5">
        <v>33</v>
      </c>
      <c r="K5" s="1">
        <f t="shared" si="0"/>
        <v>43.145317058333326</v>
      </c>
      <c r="L5" s="1">
        <v>33</v>
      </c>
      <c r="M5" s="1">
        <f t="shared" si="1"/>
        <v>43.145317058333326</v>
      </c>
      <c r="N5" t="str">
        <f t="shared" si="2"/>
        <v>RP</v>
      </c>
    </row>
    <row r="6" spans="1:14" x14ac:dyDescent="0.3">
      <c r="A6" t="s">
        <v>107</v>
      </c>
      <c r="B6" s="1">
        <v>6.3849823799999994</v>
      </c>
      <c r="C6" s="1">
        <v>3.3333333333333335</v>
      </c>
      <c r="D6" s="1">
        <v>12</v>
      </c>
      <c r="E6" s="1">
        <v>40.596666485833332</v>
      </c>
      <c r="F6" s="1">
        <v>3.4</v>
      </c>
      <c r="G6" s="1">
        <v>4.333333333333333</v>
      </c>
      <c r="H6" s="1">
        <v>11</v>
      </c>
      <c r="I6" s="1">
        <v>37.833333333333329</v>
      </c>
      <c r="J6">
        <v>38</v>
      </c>
      <c r="K6" s="1">
        <f t="shared" si="0"/>
        <v>38.850499936708324</v>
      </c>
      <c r="L6" s="1">
        <v>0</v>
      </c>
      <c r="M6" s="1">
        <f t="shared" si="1"/>
        <v>38.850499936708324</v>
      </c>
      <c r="N6" t="str">
        <f t="shared" si="2"/>
        <v>RP</v>
      </c>
    </row>
    <row r="7" spans="1:14" x14ac:dyDescent="0.3">
      <c r="A7" t="s">
        <v>108</v>
      </c>
      <c r="B7" s="1">
        <v>8.7255356291999995</v>
      </c>
      <c r="C7" s="1">
        <v>8.6666666666666661</v>
      </c>
      <c r="D7" s="1">
        <v>15</v>
      </c>
      <c r="E7" s="1">
        <v>50.681463418366668</v>
      </c>
      <c r="F7" s="1">
        <v>7.4647999999999994</v>
      </c>
      <c r="G7" s="1">
        <v>7.666666666666667</v>
      </c>
      <c r="H7" s="1">
        <v>19</v>
      </c>
      <c r="I7" s="1">
        <v>54.684133333333328</v>
      </c>
      <c r="J7">
        <v>50</v>
      </c>
      <c r="K7" s="1">
        <f t="shared" si="0"/>
        <v>51.877958863094996</v>
      </c>
      <c r="L7" s="1">
        <v>67</v>
      </c>
      <c r="M7" s="1">
        <f t="shared" si="1"/>
        <v>57.589446666666667</v>
      </c>
      <c r="N7" t="str">
        <f t="shared" si="2"/>
        <v>RP</v>
      </c>
    </row>
    <row r="8" spans="1:14" x14ac:dyDescent="0.3">
      <c r="A8" t="s">
        <v>109</v>
      </c>
      <c r="B8" s="1">
        <v>9.0317874425999989</v>
      </c>
      <c r="C8" s="1">
        <v>7.666666666666667</v>
      </c>
      <c r="D8" s="1">
        <v>14</v>
      </c>
      <c r="E8" s="1">
        <v>51.384539458966664</v>
      </c>
      <c r="F8" s="1">
        <v>3.6</v>
      </c>
      <c r="G8" s="1">
        <v>5.666666666666667</v>
      </c>
      <c r="H8" s="1">
        <v>9</v>
      </c>
      <c r="I8" s="1">
        <v>32.549999999999997</v>
      </c>
      <c r="J8">
        <v>73</v>
      </c>
      <c r="K8" s="1">
        <f t="shared" si="0"/>
        <v>51.277088810638332</v>
      </c>
      <c r="L8" s="1">
        <v>44</v>
      </c>
      <c r="M8" s="1">
        <f t="shared" si="1"/>
        <v>55.284588810638333</v>
      </c>
      <c r="N8" t="str">
        <f t="shared" si="2"/>
        <v>RP</v>
      </c>
    </row>
    <row r="9" spans="1:14" x14ac:dyDescent="0.3">
      <c r="A9" t="s">
        <v>110</v>
      </c>
      <c r="B9" s="1">
        <v>6.7158927080000002</v>
      </c>
      <c r="C9" s="1">
        <v>2.6666666666666665</v>
      </c>
      <c r="D9" s="1">
        <v>13</v>
      </c>
      <c r="E9" s="1">
        <v>37.632217380266667</v>
      </c>
      <c r="F9" s="1">
        <v>0</v>
      </c>
      <c r="G9" s="1">
        <v>1.6666666666666667</v>
      </c>
      <c r="H9" s="1">
        <v>0</v>
      </c>
      <c r="I9" s="1">
        <v>7.0666666666666673</v>
      </c>
      <c r="J9">
        <v>4</v>
      </c>
      <c r="K9" s="1">
        <f t="shared" si="0"/>
        <v>16.844609416426668</v>
      </c>
      <c r="L9" s="1">
        <v>0</v>
      </c>
      <c r="M9" s="1">
        <f t="shared" si="1"/>
        <v>16.844609416426668</v>
      </c>
      <c r="N9" t="str">
        <f t="shared" si="2"/>
        <v>RP</v>
      </c>
    </row>
    <row r="10" spans="1:14" x14ac:dyDescent="0.3">
      <c r="A10" t="s">
        <v>111</v>
      </c>
      <c r="B10" s="1">
        <v>2.8</v>
      </c>
      <c r="C10" s="1">
        <v>7.333333333333333</v>
      </c>
      <c r="D10" s="1">
        <v>16</v>
      </c>
      <c r="E10" s="1">
        <v>40.134333333333331</v>
      </c>
      <c r="F10" s="1">
        <v>4.4000000000000004</v>
      </c>
      <c r="G10" s="1">
        <v>6</v>
      </c>
      <c r="H10" s="1">
        <v>5</v>
      </c>
      <c r="I10" s="1">
        <v>33.450000000000003</v>
      </c>
      <c r="J10">
        <v>31</v>
      </c>
      <c r="K10" s="1">
        <f t="shared" si="0"/>
        <v>35.054516666666665</v>
      </c>
      <c r="L10" s="1">
        <v>0</v>
      </c>
      <c r="M10" s="1">
        <f t="shared" si="1"/>
        <v>35.054516666666665</v>
      </c>
      <c r="N10" t="str">
        <f t="shared" si="2"/>
        <v>RP</v>
      </c>
    </row>
    <row r="11" spans="1:14" x14ac:dyDescent="0.3">
      <c r="A11" t="s">
        <v>112</v>
      </c>
      <c r="B11" s="1">
        <v>6.6197309837999994</v>
      </c>
      <c r="C11" s="1">
        <v>7</v>
      </c>
      <c r="D11" s="1">
        <v>16</v>
      </c>
      <c r="E11" s="1">
        <v>48.545889485049997</v>
      </c>
      <c r="F11" s="1">
        <v>3.7584000000000004</v>
      </c>
      <c r="G11" s="1">
        <v>8.3333333333333339</v>
      </c>
      <c r="H11" s="1">
        <v>7</v>
      </c>
      <c r="I11" s="1">
        <v>40.358133333333335</v>
      </c>
      <c r="J11">
        <v>51</v>
      </c>
      <c r="K11" s="1">
        <f t="shared" si="0"/>
        <v>46.416407986434166</v>
      </c>
      <c r="L11" s="1">
        <v>0</v>
      </c>
      <c r="M11" s="1">
        <f t="shared" si="1"/>
        <v>46.416407986434166</v>
      </c>
      <c r="N11" t="str">
        <f t="shared" si="2"/>
        <v>RP</v>
      </c>
    </row>
    <row r="12" spans="1:14" x14ac:dyDescent="0.3">
      <c r="A12" t="s">
        <v>113</v>
      </c>
      <c r="B12" s="1">
        <v>2.8</v>
      </c>
      <c r="C12" s="1">
        <v>9</v>
      </c>
      <c r="D12" s="1">
        <v>17</v>
      </c>
      <c r="E12" s="1">
        <v>39.9</v>
      </c>
      <c r="F12" s="1">
        <v>0</v>
      </c>
      <c r="G12" s="1">
        <v>0</v>
      </c>
      <c r="H12" s="1">
        <v>0</v>
      </c>
      <c r="I12" s="1">
        <v>0</v>
      </c>
      <c r="J12">
        <v>3</v>
      </c>
      <c r="K12" s="1">
        <f t="shared" si="0"/>
        <v>14.864999999999998</v>
      </c>
      <c r="L12" s="1">
        <v>0</v>
      </c>
      <c r="M12" s="1">
        <f t="shared" si="1"/>
        <v>14.864999999999998</v>
      </c>
      <c r="N12" t="str">
        <f t="shared" si="2"/>
        <v>RP</v>
      </c>
    </row>
    <row r="13" spans="1:14" x14ac:dyDescent="0.3">
      <c r="A13" t="s">
        <v>114</v>
      </c>
      <c r="B13" s="1">
        <v>7.8506733864000005</v>
      </c>
      <c r="C13" s="1">
        <v>0.66666666666666663</v>
      </c>
      <c r="D13" s="1">
        <v>8</v>
      </c>
      <c r="E13" s="1">
        <v>32.866688610066667</v>
      </c>
      <c r="F13" s="1">
        <v>0</v>
      </c>
      <c r="G13" s="1">
        <v>0</v>
      </c>
      <c r="H13" s="1">
        <v>0</v>
      </c>
      <c r="I13" s="1">
        <v>2</v>
      </c>
      <c r="J13">
        <v>7</v>
      </c>
      <c r="K13" s="1">
        <f t="shared" si="0"/>
        <v>14.303341013523333</v>
      </c>
      <c r="L13" s="1">
        <v>0</v>
      </c>
      <c r="M13" s="1">
        <f t="shared" si="1"/>
        <v>14.303341013523333</v>
      </c>
      <c r="N13" t="str">
        <f t="shared" si="2"/>
        <v>RP</v>
      </c>
    </row>
    <row r="14" spans="1:14" x14ac:dyDescent="0.3">
      <c r="A14" t="s">
        <v>115</v>
      </c>
      <c r="B14" s="1">
        <v>6.3101078976</v>
      </c>
      <c r="C14" s="1">
        <v>7.666666666666667</v>
      </c>
      <c r="D14" s="1">
        <v>20</v>
      </c>
      <c r="E14" s="1">
        <v>51.743043256816662</v>
      </c>
      <c r="F14" s="1">
        <v>3.8</v>
      </c>
      <c r="G14" s="1">
        <v>8.6666666666666661</v>
      </c>
      <c r="H14" s="1">
        <v>26</v>
      </c>
      <c r="I14" s="1">
        <v>51.766666666666666</v>
      </c>
      <c r="J14">
        <v>21</v>
      </c>
      <c r="K14" s="1">
        <f t="shared" si="0"/>
        <v>42.528398473219163</v>
      </c>
      <c r="L14" s="1">
        <v>0</v>
      </c>
      <c r="M14" s="1">
        <f t="shared" si="1"/>
        <v>42.528398473219163</v>
      </c>
      <c r="N14" t="str">
        <f t="shared" si="2"/>
        <v>RP</v>
      </c>
    </row>
    <row r="15" spans="1:14" x14ac:dyDescent="0.3">
      <c r="A15" t="s">
        <v>116</v>
      </c>
      <c r="B15" s="1">
        <v>7.3449806522000003</v>
      </c>
      <c r="C15" s="1">
        <v>13.333333333333334</v>
      </c>
      <c r="D15" s="1">
        <v>20</v>
      </c>
      <c r="E15" s="1">
        <v>63.581030126883334</v>
      </c>
      <c r="F15" s="1">
        <v>8.6031999999999993</v>
      </c>
      <c r="G15" s="1">
        <v>11.333333333333334</v>
      </c>
      <c r="H15" s="1">
        <v>27</v>
      </c>
      <c r="I15" s="1">
        <v>76.013733333333334</v>
      </c>
      <c r="J15">
        <v>55</v>
      </c>
      <c r="K15" s="1">
        <f t="shared" si="0"/>
        <v>65.358167211075823</v>
      </c>
      <c r="L15" s="1">
        <v>0</v>
      </c>
      <c r="M15" s="1">
        <f t="shared" si="1"/>
        <v>65.358167211075823</v>
      </c>
      <c r="N15" t="str">
        <f t="shared" si="2"/>
        <v>AP</v>
      </c>
    </row>
    <row r="16" spans="1:14" x14ac:dyDescent="0.3">
      <c r="A16" t="s">
        <v>117</v>
      </c>
      <c r="B16" s="1">
        <v>5.4812812756000007</v>
      </c>
      <c r="C16" s="1">
        <v>4.666666666666667</v>
      </c>
      <c r="D16" s="1">
        <v>6</v>
      </c>
      <c r="E16" s="1">
        <v>35.621645706366664</v>
      </c>
      <c r="F16" s="1">
        <v>3.8</v>
      </c>
      <c r="G16" s="1">
        <v>6.666666666666667</v>
      </c>
      <c r="H16" s="1">
        <v>5</v>
      </c>
      <c r="I16" s="1">
        <v>30.316666666666666</v>
      </c>
      <c r="J16">
        <v>27</v>
      </c>
      <c r="K16" s="1">
        <f t="shared" si="0"/>
        <v>31.178409330561664</v>
      </c>
      <c r="L16" s="1">
        <v>0</v>
      </c>
      <c r="M16" s="1">
        <f t="shared" si="1"/>
        <v>31.178409330561664</v>
      </c>
      <c r="N16" t="str">
        <f t="shared" si="2"/>
        <v>RP</v>
      </c>
    </row>
    <row r="17" spans="1:14" x14ac:dyDescent="0.3">
      <c r="A17" t="s">
        <v>118</v>
      </c>
      <c r="B17" s="1">
        <v>0</v>
      </c>
      <c r="C17" s="1">
        <v>0</v>
      </c>
      <c r="D17" s="1">
        <v>0</v>
      </c>
      <c r="E17" s="1">
        <v>5.0990000000000002</v>
      </c>
      <c r="F17" s="1">
        <v>0</v>
      </c>
      <c r="G17" s="1">
        <v>0</v>
      </c>
      <c r="H17" s="1">
        <v>0</v>
      </c>
      <c r="I17" s="1">
        <v>0</v>
      </c>
      <c r="J17">
        <v>4</v>
      </c>
      <c r="K17" s="1">
        <f t="shared" si="0"/>
        <v>2.9846499999999998</v>
      </c>
      <c r="L17" s="1">
        <v>0</v>
      </c>
      <c r="M17" s="1">
        <f t="shared" si="1"/>
        <v>2.9846499999999998</v>
      </c>
      <c r="N17" t="str">
        <f t="shared" si="2"/>
        <v>RP</v>
      </c>
    </row>
    <row r="18" spans="1:14" x14ac:dyDescent="0.3">
      <c r="A18" t="s">
        <v>119</v>
      </c>
      <c r="B18" s="1">
        <v>0</v>
      </c>
      <c r="C18" s="1">
        <v>12</v>
      </c>
      <c r="D18" s="1">
        <v>26</v>
      </c>
      <c r="E18" s="1">
        <v>48.251000000000005</v>
      </c>
      <c r="F18" s="1">
        <v>9.1980000000000004</v>
      </c>
      <c r="G18" s="1">
        <v>13.666666666666666</v>
      </c>
      <c r="H18" s="1">
        <v>38</v>
      </c>
      <c r="I18" s="1">
        <v>84.092399999999998</v>
      </c>
      <c r="J18">
        <v>75</v>
      </c>
      <c r="K18" s="1">
        <f t="shared" si="0"/>
        <v>68.820189999999997</v>
      </c>
      <c r="L18" s="1">
        <v>47</v>
      </c>
      <c r="M18" s="1">
        <f t="shared" si="1"/>
        <v>68.820189999999997</v>
      </c>
      <c r="N18" t="str">
        <f t="shared" si="2"/>
        <v>AP</v>
      </c>
    </row>
    <row r="19" spans="1:14" x14ac:dyDescent="0.3">
      <c r="A19" t="s">
        <v>120</v>
      </c>
      <c r="B19" s="1">
        <v>6.3849823799999994</v>
      </c>
      <c r="C19" s="1">
        <v>8.6666666666666661</v>
      </c>
      <c r="D19" s="1">
        <v>7</v>
      </c>
      <c r="E19" s="1">
        <v>41.637131387916668</v>
      </c>
      <c r="F19" s="1">
        <v>8.8000000000000007</v>
      </c>
      <c r="G19" s="1">
        <v>7.333333333333333</v>
      </c>
      <c r="H19" s="1">
        <v>12</v>
      </c>
      <c r="I19" s="1">
        <v>51.283333333333339</v>
      </c>
      <c r="J19">
        <v>55</v>
      </c>
      <c r="K19" s="1">
        <f t="shared" si="0"/>
        <v>49.022162652437501</v>
      </c>
      <c r="L19" s="1">
        <v>40</v>
      </c>
      <c r="M19" s="1">
        <f t="shared" si="1"/>
        <v>49.022162652437501</v>
      </c>
      <c r="N19" t="str">
        <f t="shared" si="2"/>
        <v>RP</v>
      </c>
    </row>
    <row r="20" spans="1:14" x14ac:dyDescent="0.3">
      <c r="A20" t="s">
        <v>121</v>
      </c>
      <c r="B20" s="1">
        <v>7.3982848895999993</v>
      </c>
      <c r="C20" s="1">
        <v>10.333333333333334</v>
      </c>
      <c r="D20" s="1">
        <v>29</v>
      </c>
      <c r="E20" s="1">
        <v>65.737359226933336</v>
      </c>
      <c r="F20" s="1">
        <v>5.5245999999999995</v>
      </c>
      <c r="G20" s="1">
        <v>7.333333333333333</v>
      </c>
      <c r="H20" s="1">
        <v>16</v>
      </c>
      <c r="I20" s="1">
        <v>50.127733333333339</v>
      </c>
      <c r="J20">
        <v>27</v>
      </c>
      <c r="K20" s="1">
        <f t="shared" si="0"/>
        <v>48.652782396093336</v>
      </c>
      <c r="L20" s="1">
        <v>47</v>
      </c>
      <c r="M20" s="1">
        <f t="shared" si="1"/>
        <v>48.652782396093336</v>
      </c>
      <c r="N20" t="str">
        <f t="shared" si="2"/>
        <v>RP</v>
      </c>
    </row>
    <row r="21" spans="1:14" x14ac:dyDescent="0.3">
      <c r="A21" t="s">
        <v>122</v>
      </c>
      <c r="B21" s="1">
        <v>7.3612603079999994</v>
      </c>
      <c r="C21" s="1">
        <v>8.6666666666666661</v>
      </c>
      <c r="D21" s="1">
        <v>14</v>
      </c>
      <c r="E21" s="1">
        <v>50.525296889666663</v>
      </c>
      <c r="F21" s="1">
        <v>3.2</v>
      </c>
      <c r="G21" s="1">
        <v>11.333333333333334</v>
      </c>
      <c r="H21" s="1">
        <v>18</v>
      </c>
      <c r="I21" s="1">
        <v>49.183333333333337</v>
      </c>
      <c r="J21">
        <v>43</v>
      </c>
      <c r="K21" s="1">
        <f t="shared" si="0"/>
        <v>47.798020578049993</v>
      </c>
      <c r="L21" s="1">
        <v>0</v>
      </c>
      <c r="M21" s="1">
        <f t="shared" si="1"/>
        <v>47.798020578049993</v>
      </c>
      <c r="N21" t="str">
        <f t="shared" si="2"/>
        <v>RP</v>
      </c>
    </row>
    <row r="22" spans="1:14" x14ac:dyDescent="0.3">
      <c r="A22" t="s">
        <v>123</v>
      </c>
      <c r="B22" s="1">
        <v>3.2</v>
      </c>
      <c r="C22" s="1">
        <v>8</v>
      </c>
      <c r="D22" s="1">
        <v>11</v>
      </c>
      <c r="E22" s="1">
        <v>36.724000000000004</v>
      </c>
      <c r="F22" s="1">
        <v>7.6</v>
      </c>
      <c r="G22" s="1">
        <v>9.6666666666666661</v>
      </c>
      <c r="H22" s="1">
        <v>18</v>
      </c>
      <c r="I22" s="1">
        <v>58.666666666666664</v>
      </c>
      <c r="J22">
        <v>29</v>
      </c>
      <c r="K22" s="1">
        <f t="shared" si="0"/>
        <v>42.086733333333328</v>
      </c>
      <c r="L22" s="1">
        <v>0</v>
      </c>
      <c r="M22" s="1">
        <f t="shared" si="1"/>
        <v>42.086733333333328</v>
      </c>
      <c r="N22" t="str">
        <f t="shared" si="2"/>
        <v>RP</v>
      </c>
    </row>
    <row r="23" spans="1:14" x14ac:dyDescent="0.3">
      <c r="A23" t="s">
        <v>124</v>
      </c>
      <c r="B23" s="1">
        <v>3.9</v>
      </c>
      <c r="C23" s="1">
        <v>0</v>
      </c>
      <c r="D23" s="1">
        <v>0</v>
      </c>
      <c r="E23" s="1">
        <v>5.0999999999999996</v>
      </c>
      <c r="F23" s="1">
        <v>0</v>
      </c>
      <c r="G23" s="1">
        <v>0</v>
      </c>
      <c r="H23" s="1">
        <v>0</v>
      </c>
      <c r="I23" s="1">
        <v>0</v>
      </c>
      <c r="J23">
        <v>5</v>
      </c>
      <c r="K23" s="1">
        <f t="shared" si="0"/>
        <v>3.2849999999999997</v>
      </c>
      <c r="L23" s="1">
        <v>0</v>
      </c>
      <c r="M23" s="1">
        <f t="shared" si="1"/>
        <v>3.2849999999999997</v>
      </c>
      <c r="N23" t="str">
        <f t="shared" si="2"/>
        <v>RP</v>
      </c>
    </row>
    <row r="24" spans="1:14" x14ac:dyDescent="0.3">
      <c r="A24" t="s">
        <v>125</v>
      </c>
      <c r="B24" s="1">
        <v>7.0478701631999998</v>
      </c>
      <c r="C24" s="1">
        <v>11</v>
      </c>
      <c r="D24" s="1">
        <v>34</v>
      </c>
      <c r="E24" s="1">
        <v>73.966449579200003</v>
      </c>
      <c r="F24" s="1">
        <v>5</v>
      </c>
      <c r="G24" s="1">
        <v>16.666666666666668</v>
      </c>
      <c r="H24" s="1">
        <v>27</v>
      </c>
      <c r="I24" s="1">
        <v>68.166666666666671</v>
      </c>
      <c r="J24">
        <v>45</v>
      </c>
      <c r="K24" s="1">
        <f t="shared" si="0"/>
        <v>63.246590686053338</v>
      </c>
      <c r="L24" s="1">
        <v>0</v>
      </c>
      <c r="M24" s="1">
        <f t="shared" si="1"/>
        <v>63.246590686053338</v>
      </c>
      <c r="N24" t="str">
        <f t="shared" si="2"/>
        <v>AP</v>
      </c>
    </row>
    <row r="25" spans="1:14" x14ac:dyDescent="0.3">
      <c r="A25" t="s">
        <v>126</v>
      </c>
      <c r="B25" s="1">
        <v>5.4700519103999996</v>
      </c>
      <c r="C25" s="1">
        <v>5.333333333333333</v>
      </c>
      <c r="D25" s="1">
        <v>8</v>
      </c>
      <c r="E25" s="1">
        <v>37.549020852133332</v>
      </c>
      <c r="F25" s="1">
        <v>7.919999999999999</v>
      </c>
      <c r="G25" s="1">
        <v>9</v>
      </c>
      <c r="H25" s="1">
        <v>27</v>
      </c>
      <c r="I25" s="1">
        <v>63.19</v>
      </c>
      <c r="J25">
        <v>31</v>
      </c>
      <c r="K25" s="1">
        <f t="shared" si="0"/>
        <v>44.558657298246665</v>
      </c>
      <c r="L25" s="1">
        <v>0</v>
      </c>
      <c r="M25" s="1">
        <f t="shared" si="1"/>
        <v>44.558657298246665</v>
      </c>
      <c r="N25" t="str">
        <f t="shared" si="2"/>
        <v>RP</v>
      </c>
    </row>
    <row r="26" spans="1:14" x14ac:dyDescent="0.3">
      <c r="A26" t="s">
        <v>127</v>
      </c>
      <c r="B26" s="1">
        <v>8.8288000007999994</v>
      </c>
      <c r="C26" s="1">
        <v>9.6666666666666661</v>
      </c>
      <c r="D26" s="1">
        <v>26</v>
      </c>
      <c r="E26" s="1">
        <v>65.972112822266666</v>
      </c>
      <c r="F26" s="1">
        <v>10.437000000000001</v>
      </c>
      <c r="G26" s="1">
        <v>10.666666666666666</v>
      </c>
      <c r="H26" s="1">
        <v>20</v>
      </c>
      <c r="I26" s="1">
        <v>66.075666666666677</v>
      </c>
      <c r="J26">
        <v>57</v>
      </c>
      <c r="K26" s="1">
        <f t="shared" si="0"/>
        <v>63.31672282112666</v>
      </c>
      <c r="L26" s="1">
        <v>0</v>
      </c>
      <c r="M26" s="1">
        <f t="shared" si="1"/>
        <v>63.31672282112666</v>
      </c>
      <c r="N26" t="str">
        <f t="shared" si="2"/>
        <v>AP</v>
      </c>
    </row>
    <row r="27" spans="1:14" x14ac:dyDescent="0.3">
      <c r="A27" t="s">
        <v>128</v>
      </c>
      <c r="B27" s="1">
        <v>6.5554346816000013</v>
      </c>
      <c r="C27" s="1">
        <v>7</v>
      </c>
      <c r="D27" s="1">
        <v>10</v>
      </c>
      <c r="E27" s="1">
        <v>42.121586035700005</v>
      </c>
      <c r="F27" s="1">
        <v>3.8</v>
      </c>
      <c r="G27" s="1">
        <v>4</v>
      </c>
      <c r="H27" s="1">
        <v>9</v>
      </c>
      <c r="I27" s="1">
        <v>33.599999999999994</v>
      </c>
      <c r="J27">
        <v>36</v>
      </c>
      <c r="K27" s="1">
        <f t="shared" si="0"/>
        <v>37.302555112495</v>
      </c>
      <c r="L27" s="1">
        <v>0</v>
      </c>
      <c r="M27" s="1">
        <f t="shared" si="1"/>
        <v>37.302555112495</v>
      </c>
      <c r="N27" t="str">
        <f t="shared" si="2"/>
        <v>RP</v>
      </c>
    </row>
    <row r="28" spans="1:14" x14ac:dyDescent="0.3">
      <c r="A28" t="s">
        <v>129</v>
      </c>
      <c r="B28" s="1">
        <v>2.8</v>
      </c>
      <c r="C28" s="1">
        <v>0</v>
      </c>
      <c r="D28" s="1">
        <v>0</v>
      </c>
      <c r="E28" s="1">
        <v>4.05</v>
      </c>
      <c r="F28" s="1">
        <v>0</v>
      </c>
      <c r="G28" s="1">
        <v>0</v>
      </c>
      <c r="H28" s="1">
        <v>0</v>
      </c>
      <c r="I28" s="1">
        <v>0</v>
      </c>
      <c r="J28">
        <v>1</v>
      </c>
      <c r="K28" s="1">
        <f t="shared" si="0"/>
        <v>1.7174999999999998</v>
      </c>
      <c r="L28" s="1">
        <v>0</v>
      </c>
      <c r="M28" s="1">
        <f t="shared" si="1"/>
        <v>1.7174999999999998</v>
      </c>
      <c r="N28" t="str">
        <f t="shared" si="2"/>
        <v>RP</v>
      </c>
    </row>
    <row r="29" spans="1:14" x14ac:dyDescent="0.3">
      <c r="A29" t="s">
        <v>130</v>
      </c>
      <c r="B29" s="1">
        <v>3.7</v>
      </c>
      <c r="C29" s="1">
        <v>16.333333333333332</v>
      </c>
      <c r="D29" s="1">
        <v>36</v>
      </c>
      <c r="E29" s="1">
        <v>74.009333333333331</v>
      </c>
      <c r="F29" s="1">
        <v>6.2960000000000003</v>
      </c>
      <c r="G29" s="1">
        <v>16</v>
      </c>
      <c r="H29" s="1">
        <v>28</v>
      </c>
      <c r="I29" s="1">
        <v>73.436199999999999</v>
      </c>
      <c r="J29">
        <v>57</v>
      </c>
      <c r="K29" s="1">
        <f t="shared" si="0"/>
        <v>68.705936666666659</v>
      </c>
      <c r="L29" s="1">
        <v>0</v>
      </c>
      <c r="M29" s="1">
        <f t="shared" si="1"/>
        <v>68.705936666666659</v>
      </c>
      <c r="N29" t="str">
        <f t="shared" si="2"/>
        <v>AP</v>
      </c>
    </row>
    <row r="30" spans="1:14" x14ac:dyDescent="0.3">
      <c r="A30" t="s">
        <v>131</v>
      </c>
      <c r="B30" s="1">
        <v>2.6</v>
      </c>
      <c r="C30" s="1">
        <v>13.666666666666666</v>
      </c>
      <c r="D30" s="1">
        <v>24</v>
      </c>
      <c r="E30" s="1">
        <v>55.717666666666666</v>
      </c>
      <c r="F30" s="1">
        <v>0</v>
      </c>
      <c r="G30" s="1">
        <v>12.333333333333334</v>
      </c>
      <c r="H30" s="1">
        <v>25</v>
      </c>
      <c r="I30" s="1">
        <v>47.983333333333334</v>
      </c>
      <c r="J30">
        <v>27</v>
      </c>
      <c r="K30" s="1">
        <f t="shared" si="0"/>
        <v>44.395349999999993</v>
      </c>
      <c r="L30" s="1">
        <v>0</v>
      </c>
      <c r="M30" s="1">
        <f t="shared" si="1"/>
        <v>44.395349999999993</v>
      </c>
      <c r="N30" t="str">
        <f t="shared" si="2"/>
        <v>RP</v>
      </c>
    </row>
    <row r="31" spans="1:14" x14ac:dyDescent="0.3">
      <c r="A31" t="s">
        <v>132</v>
      </c>
      <c r="B31" s="1">
        <v>6.7432929647999993</v>
      </c>
      <c r="C31" s="1">
        <v>7.333333333333333</v>
      </c>
      <c r="D31" s="1">
        <v>11</v>
      </c>
      <c r="E31" s="1">
        <v>36.998423588133335</v>
      </c>
      <c r="F31" s="1">
        <v>4.5</v>
      </c>
      <c r="G31" s="1">
        <v>7.666666666666667</v>
      </c>
      <c r="H31" s="1">
        <v>14</v>
      </c>
      <c r="I31" s="1">
        <v>42.216666666666669</v>
      </c>
      <c r="J31">
        <v>40</v>
      </c>
      <c r="K31" s="1">
        <f t="shared" si="0"/>
        <v>39.72528158918</v>
      </c>
      <c r="L31" s="1">
        <v>31</v>
      </c>
      <c r="M31" s="1">
        <f t="shared" si="1"/>
        <v>39.72528158918</v>
      </c>
      <c r="N31" t="str">
        <f t="shared" si="2"/>
        <v>RP</v>
      </c>
    </row>
    <row r="32" spans="1:14" x14ac:dyDescent="0.3">
      <c r="A32" t="s">
        <v>133</v>
      </c>
      <c r="B32" s="1">
        <v>5.2</v>
      </c>
      <c r="C32" s="1">
        <v>6.333333333333333</v>
      </c>
      <c r="D32" s="1">
        <v>23</v>
      </c>
      <c r="E32" s="1">
        <v>55.382333333333335</v>
      </c>
      <c r="F32" s="1">
        <v>8.4512</v>
      </c>
      <c r="G32" s="1">
        <v>11.333333333333334</v>
      </c>
      <c r="H32" s="1">
        <v>30</v>
      </c>
      <c r="I32" s="1">
        <v>71.825333333333333</v>
      </c>
      <c r="J32">
        <v>43</v>
      </c>
      <c r="K32" s="1">
        <f t="shared" si="0"/>
        <v>57.422683333333332</v>
      </c>
      <c r="L32" s="1">
        <v>39</v>
      </c>
      <c r="M32" s="1">
        <f t="shared" si="1"/>
        <v>57.422683333333332</v>
      </c>
      <c r="N32" t="str">
        <f t="shared" si="2"/>
        <v>RP</v>
      </c>
    </row>
    <row r="33" spans="1:14" x14ac:dyDescent="0.3">
      <c r="A33" t="s">
        <v>134</v>
      </c>
      <c r="B33" s="1">
        <v>7.3749014150000001</v>
      </c>
      <c r="C33" s="1">
        <v>13.666666666666666</v>
      </c>
      <c r="D33" s="1">
        <v>22</v>
      </c>
      <c r="E33" s="1">
        <v>63.546007124666666</v>
      </c>
      <c r="F33" s="1">
        <v>8.4179999999999993</v>
      </c>
      <c r="G33" s="1">
        <v>17</v>
      </c>
      <c r="H33" s="1">
        <v>14</v>
      </c>
      <c r="I33" s="1">
        <v>66.639800000000008</v>
      </c>
      <c r="J33">
        <v>55</v>
      </c>
      <c r="K33" s="1">
        <f t="shared" si="0"/>
        <v>62.065032493633332</v>
      </c>
      <c r="L33" s="1">
        <v>62</v>
      </c>
      <c r="M33" s="1">
        <f t="shared" si="1"/>
        <v>62.065032493633332</v>
      </c>
      <c r="N33" t="str">
        <f t="shared" si="2"/>
        <v>AP</v>
      </c>
    </row>
    <row r="34" spans="1:14" x14ac:dyDescent="0.3">
      <c r="A34" t="s">
        <v>135</v>
      </c>
      <c r="B34" s="1">
        <v>7.1084175425999998</v>
      </c>
      <c r="C34" s="1">
        <v>6.333333333333333</v>
      </c>
      <c r="D34" s="1">
        <v>13</v>
      </c>
      <c r="E34" s="1">
        <v>47.039970597633335</v>
      </c>
      <c r="F34" s="1">
        <v>6.9496000000000002</v>
      </c>
      <c r="G34" s="1">
        <v>10.333333333333334</v>
      </c>
      <c r="H34" s="1">
        <v>15</v>
      </c>
      <c r="I34" s="1">
        <v>55.56066666666667</v>
      </c>
      <c r="J34">
        <v>60</v>
      </c>
      <c r="K34" s="1">
        <f t="shared" si="0"/>
        <v>53.910223042505002</v>
      </c>
      <c r="L34" s="1">
        <v>38</v>
      </c>
      <c r="M34" s="1">
        <f t="shared" si="1"/>
        <v>53.910223042505002</v>
      </c>
      <c r="N34" t="str">
        <f t="shared" si="2"/>
        <v>RP</v>
      </c>
    </row>
    <row r="35" spans="1:14" x14ac:dyDescent="0.3">
      <c r="A35" t="s">
        <v>136</v>
      </c>
      <c r="B35" s="1">
        <v>7.4</v>
      </c>
      <c r="C35" s="1">
        <v>12.666666666666666</v>
      </c>
      <c r="D35" s="1">
        <v>32</v>
      </c>
      <c r="E35" s="1">
        <v>72.817666666666668</v>
      </c>
      <c r="F35" s="1">
        <v>5.2632000000000003</v>
      </c>
      <c r="G35" s="1">
        <v>15</v>
      </c>
      <c r="H35" s="1">
        <v>36</v>
      </c>
      <c r="I35" s="1">
        <v>77.081400000000002</v>
      </c>
      <c r="J35">
        <v>77</v>
      </c>
      <c r="K35" s="1">
        <f t="shared" si="0"/>
        <v>75.564673333333332</v>
      </c>
      <c r="L35" s="1">
        <v>0</v>
      </c>
      <c r="M35" s="1">
        <f t="shared" si="1"/>
        <v>75.564673333333332</v>
      </c>
      <c r="N35" t="str">
        <f t="shared" si="2"/>
        <v>AP</v>
      </c>
    </row>
    <row r="36" spans="1:14" x14ac:dyDescent="0.3">
      <c r="A36" t="s">
        <v>137</v>
      </c>
      <c r="B36" s="1">
        <v>6.6</v>
      </c>
      <c r="C36" s="1">
        <v>9.3333333333333339</v>
      </c>
      <c r="D36" s="1">
        <v>17</v>
      </c>
      <c r="E36" s="1">
        <v>56.733333333333334</v>
      </c>
      <c r="F36" s="1">
        <v>9.0901999999999994</v>
      </c>
      <c r="G36" s="1">
        <v>7.666666666666667</v>
      </c>
      <c r="H36" s="1">
        <v>17</v>
      </c>
      <c r="I36" s="1">
        <v>61.989066666666666</v>
      </c>
      <c r="J36">
        <v>62</v>
      </c>
      <c r="K36" s="1">
        <f t="shared" si="0"/>
        <v>60.152839999999998</v>
      </c>
      <c r="L36" s="1">
        <v>0</v>
      </c>
      <c r="M36" s="1">
        <f t="shared" si="1"/>
        <v>60.152839999999998</v>
      </c>
      <c r="N36" t="str">
        <f t="shared" si="2"/>
        <v>AP</v>
      </c>
    </row>
    <row r="37" spans="1:14" x14ac:dyDescent="0.3">
      <c r="A37" t="s">
        <v>138</v>
      </c>
      <c r="B37" s="1">
        <v>6.9105965879999998</v>
      </c>
      <c r="C37" s="1">
        <v>2</v>
      </c>
      <c r="D37" s="1">
        <v>2</v>
      </c>
      <c r="E37" s="1">
        <v>20.008508924000001</v>
      </c>
      <c r="F37" s="1">
        <v>0</v>
      </c>
      <c r="G37" s="1">
        <v>2.6666666666666665</v>
      </c>
      <c r="H37" s="1">
        <v>4</v>
      </c>
      <c r="I37" s="1">
        <v>12.866666666666667</v>
      </c>
      <c r="J37">
        <v>17</v>
      </c>
      <c r="K37" s="1">
        <f t="shared" si="0"/>
        <v>16.606311456733334</v>
      </c>
      <c r="L37" s="1">
        <v>0</v>
      </c>
      <c r="M37" s="1">
        <f t="shared" si="1"/>
        <v>16.606311456733334</v>
      </c>
      <c r="N37" t="str">
        <f t="shared" si="2"/>
        <v>RP</v>
      </c>
    </row>
    <row r="38" spans="1:14" x14ac:dyDescent="0.3">
      <c r="A38" t="s">
        <v>139</v>
      </c>
      <c r="B38" s="1">
        <v>6.6107557824000001</v>
      </c>
      <c r="C38" s="1">
        <v>11.666666666666666</v>
      </c>
      <c r="D38" s="1">
        <v>30</v>
      </c>
      <c r="E38" s="1">
        <v>68.663961006816663</v>
      </c>
      <c r="F38" s="1">
        <v>3.8</v>
      </c>
      <c r="G38" s="1">
        <v>9</v>
      </c>
      <c r="H38" s="1">
        <v>16</v>
      </c>
      <c r="I38" s="1">
        <v>47.05</v>
      </c>
      <c r="J38">
        <v>29</v>
      </c>
      <c r="K38" s="1">
        <f t="shared" si="0"/>
        <v>49.199886352385832</v>
      </c>
      <c r="L38" s="1">
        <v>0</v>
      </c>
      <c r="M38" s="1">
        <f t="shared" si="1"/>
        <v>49.199886352385832</v>
      </c>
      <c r="N38" t="str">
        <f t="shared" si="2"/>
        <v>RP</v>
      </c>
    </row>
    <row r="39" spans="1:14" x14ac:dyDescent="0.3">
      <c r="A39" t="s">
        <v>140</v>
      </c>
      <c r="B39" s="1">
        <v>6.9835047047999996</v>
      </c>
      <c r="C39" s="1">
        <v>7</v>
      </c>
      <c r="D39" s="1">
        <v>10</v>
      </c>
      <c r="E39" s="1">
        <v>41.9318167948</v>
      </c>
      <c r="F39" s="1">
        <v>3.2</v>
      </c>
      <c r="G39" s="1">
        <v>7</v>
      </c>
      <c r="H39" s="1">
        <v>16</v>
      </c>
      <c r="I39" s="1">
        <v>42.199999999999996</v>
      </c>
      <c r="J39">
        <v>39</v>
      </c>
      <c r="K39" s="1">
        <f t="shared" si="0"/>
        <v>41.14613587817999</v>
      </c>
      <c r="L39" s="1">
        <v>0</v>
      </c>
      <c r="M39" s="1">
        <f t="shared" si="1"/>
        <v>41.14613587817999</v>
      </c>
      <c r="N39" t="str">
        <f t="shared" si="2"/>
        <v>RP</v>
      </c>
    </row>
    <row r="40" spans="1:14" x14ac:dyDescent="0.3">
      <c r="A40" t="s">
        <v>141</v>
      </c>
      <c r="B40" s="1">
        <v>6.3101078976</v>
      </c>
      <c r="C40" s="1">
        <v>7.666666666666667</v>
      </c>
      <c r="D40" s="1">
        <v>10</v>
      </c>
      <c r="E40" s="1">
        <v>36.527752795216671</v>
      </c>
      <c r="F40" s="1">
        <v>3.6</v>
      </c>
      <c r="G40" s="1">
        <v>7</v>
      </c>
      <c r="H40" s="1">
        <v>15</v>
      </c>
      <c r="I40" s="1">
        <v>38.65</v>
      </c>
      <c r="J40">
        <v>12</v>
      </c>
      <c r="K40" s="1">
        <f t="shared" si="0"/>
        <v>29.912213478325832</v>
      </c>
      <c r="L40" s="1">
        <v>0</v>
      </c>
      <c r="M40" s="1">
        <f t="shared" si="1"/>
        <v>29.912213478325832</v>
      </c>
      <c r="N40" t="str">
        <f t="shared" si="2"/>
        <v>RP</v>
      </c>
    </row>
    <row r="41" spans="1:14" x14ac:dyDescent="0.3">
      <c r="A41" t="s">
        <v>142</v>
      </c>
      <c r="B41" s="1">
        <v>7.3449806522000003</v>
      </c>
      <c r="C41" s="1">
        <v>8.6666666666666661</v>
      </c>
      <c r="D41" s="1">
        <v>8</v>
      </c>
      <c r="E41" s="1">
        <v>43.480118297166669</v>
      </c>
      <c r="F41" s="1">
        <v>8.6031999999999993</v>
      </c>
      <c r="G41" s="1">
        <v>11</v>
      </c>
      <c r="H41" s="1">
        <v>17</v>
      </c>
      <c r="I41" s="1">
        <v>65.830399999999997</v>
      </c>
      <c r="J41">
        <v>44</v>
      </c>
      <c r="K41" s="1">
        <f t="shared" si="0"/>
        <v>51.458681404008331</v>
      </c>
      <c r="L41" s="1">
        <v>45</v>
      </c>
      <c r="M41" s="1">
        <f t="shared" si="1"/>
        <v>51.990639999999985</v>
      </c>
      <c r="N41" t="str">
        <f t="shared" si="2"/>
        <v>RP</v>
      </c>
    </row>
    <row r="42" spans="1:14" x14ac:dyDescent="0.3">
      <c r="A42" t="s">
        <v>143</v>
      </c>
      <c r="B42" s="1">
        <v>6.2966201363999996</v>
      </c>
      <c r="C42" s="1">
        <v>3.3333333333333335</v>
      </c>
      <c r="D42" s="1">
        <v>6</v>
      </c>
      <c r="E42" s="1">
        <v>32.616816966333332</v>
      </c>
      <c r="F42" s="1">
        <v>2.6</v>
      </c>
      <c r="G42" s="1">
        <v>4.333333333333333</v>
      </c>
      <c r="H42" s="1">
        <v>14</v>
      </c>
      <c r="I42" s="1">
        <v>39.433333333333337</v>
      </c>
      <c r="J42">
        <v>27</v>
      </c>
      <c r="K42" s="1">
        <f t="shared" si="0"/>
        <v>33.317552604883332</v>
      </c>
      <c r="L42" s="1">
        <v>31</v>
      </c>
      <c r="M42" s="1">
        <f t="shared" si="1"/>
        <v>33.317552604883332</v>
      </c>
      <c r="N42" t="str">
        <f t="shared" si="2"/>
        <v>RP</v>
      </c>
    </row>
    <row r="43" spans="1:14" x14ac:dyDescent="0.3">
      <c r="A43" t="s">
        <v>144</v>
      </c>
      <c r="B43" s="1">
        <v>7.2996587208000001</v>
      </c>
      <c r="C43" s="1">
        <v>16</v>
      </c>
      <c r="D43" s="1">
        <v>21</v>
      </c>
      <c r="E43" s="1">
        <v>67.762988290999999</v>
      </c>
      <c r="F43" s="1">
        <v>6.4</v>
      </c>
      <c r="G43" s="1">
        <v>18.333333333333332</v>
      </c>
      <c r="H43" s="1">
        <v>31</v>
      </c>
      <c r="I43" s="1">
        <v>79.433333333333337</v>
      </c>
      <c r="J43">
        <v>55</v>
      </c>
      <c r="K43" s="1">
        <f t="shared" si="0"/>
        <v>68.018712568516662</v>
      </c>
      <c r="L43" s="1">
        <v>81</v>
      </c>
      <c r="M43" s="1">
        <f t="shared" si="1"/>
        <v>72.651666666666671</v>
      </c>
      <c r="N43" t="str">
        <f t="shared" si="2"/>
        <v>AP</v>
      </c>
    </row>
    <row r="44" spans="1:14" x14ac:dyDescent="0.3">
      <c r="A44" t="s">
        <v>145</v>
      </c>
      <c r="B44" s="1">
        <v>0</v>
      </c>
      <c r="C44" s="1">
        <v>6.333333333333333</v>
      </c>
      <c r="D44" s="1">
        <v>22</v>
      </c>
      <c r="E44" s="1">
        <v>31.982333333333333</v>
      </c>
      <c r="F44" s="1">
        <v>4.3623999999999992</v>
      </c>
      <c r="G44" s="1">
        <v>6.666666666666667</v>
      </c>
      <c r="H44" s="1">
        <v>23</v>
      </c>
      <c r="I44" s="1">
        <v>40.119999999999997</v>
      </c>
      <c r="J44">
        <v>17</v>
      </c>
      <c r="K44" s="1">
        <f t="shared" si="0"/>
        <v>30.335816666666666</v>
      </c>
      <c r="L44" s="1">
        <v>0</v>
      </c>
      <c r="M44" s="1">
        <f t="shared" si="1"/>
        <v>30.335816666666666</v>
      </c>
      <c r="N44" t="str">
        <f t="shared" si="2"/>
        <v>RP</v>
      </c>
    </row>
    <row r="45" spans="1:14" x14ac:dyDescent="0.3">
      <c r="A45" t="s">
        <v>146</v>
      </c>
      <c r="B45" s="1">
        <v>6.8520725459999996</v>
      </c>
      <c r="C45" s="1">
        <v>7.666666666666667</v>
      </c>
      <c r="D45" s="1">
        <v>20</v>
      </c>
      <c r="E45" s="1">
        <v>50.609914209166668</v>
      </c>
      <c r="F45" s="1">
        <v>0</v>
      </c>
      <c r="G45" s="1">
        <v>8.3333333333333339</v>
      </c>
      <c r="H45" s="1">
        <v>24</v>
      </c>
      <c r="I45" s="1">
        <v>40.283333333333331</v>
      </c>
      <c r="J45">
        <v>39</v>
      </c>
      <c r="K45" s="1">
        <f t="shared" si="0"/>
        <v>43.512636639874998</v>
      </c>
      <c r="L45" s="1">
        <v>0</v>
      </c>
      <c r="M45" s="1">
        <f t="shared" si="1"/>
        <v>43.512636639874998</v>
      </c>
      <c r="N45" t="str">
        <f t="shared" si="2"/>
        <v>RP</v>
      </c>
    </row>
    <row r="46" spans="1:14" x14ac:dyDescent="0.3">
      <c r="A46" t="s">
        <v>147</v>
      </c>
      <c r="B46" s="1">
        <v>6.6</v>
      </c>
      <c r="C46" s="1">
        <v>8</v>
      </c>
      <c r="D46" s="1">
        <v>17</v>
      </c>
      <c r="E46" s="1">
        <v>50.098999999999997</v>
      </c>
      <c r="F46" s="1">
        <v>7.3143999999999991</v>
      </c>
      <c r="G46" s="1">
        <v>10.666666666666666</v>
      </c>
      <c r="H46" s="1">
        <v>15</v>
      </c>
      <c r="I46" s="1">
        <v>57.216133333333332</v>
      </c>
      <c r="J46">
        <v>42</v>
      </c>
      <c r="K46" s="1">
        <f t="shared" si="0"/>
        <v>50.160296666666667</v>
      </c>
      <c r="L46" s="1">
        <v>40</v>
      </c>
      <c r="M46" s="1">
        <f t="shared" si="1"/>
        <v>50.160296666666667</v>
      </c>
      <c r="N46" t="str">
        <f t="shared" si="2"/>
        <v>RP</v>
      </c>
    </row>
    <row r="47" spans="1:14" x14ac:dyDescent="0.3">
      <c r="A47" t="s">
        <v>148</v>
      </c>
      <c r="B47" s="1">
        <v>6.6197309837999994</v>
      </c>
      <c r="C47" s="1">
        <v>7.333333333333333</v>
      </c>
      <c r="D47" s="1">
        <v>2</v>
      </c>
      <c r="E47" s="1">
        <v>34.278671249833337</v>
      </c>
      <c r="F47" s="1">
        <v>0</v>
      </c>
      <c r="G47" s="1">
        <v>5</v>
      </c>
      <c r="H47" s="1">
        <v>3</v>
      </c>
      <c r="I47" s="1">
        <v>21.5</v>
      </c>
      <c r="J47">
        <v>38</v>
      </c>
      <c r="K47" s="1">
        <f t="shared" si="0"/>
        <v>30.922534937441668</v>
      </c>
      <c r="L47" s="1">
        <v>0</v>
      </c>
      <c r="M47" s="1">
        <f t="shared" si="1"/>
        <v>30.922534937441668</v>
      </c>
      <c r="N47" t="str">
        <f t="shared" si="2"/>
        <v>RP</v>
      </c>
    </row>
    <row r="48" spans="1:14" x14ac:dyDescent="0.3">
      <c r="A48" t="s">
        <v>149</v>
      </c>
      <c r="B48" s="1">
        <v>4.9026070184000003</v>
      </c>
      <c r="C48" s="1">
        <v>5</v>
      </c>
      <c r="D48" s="1">
        <v>8</v>
      </c>
      <c r="E48" s="1">
        <v>34.196467040100003</v>
      </c>
      <c r="F48" s="1">
        <v>2.1</v>
      </c>
      <c r="G48" s="1">
        <v>1.6666666666666667</v>
      </c>
      <c r="H48" s="1">
        <v>11</v>
      </c>
      <c r="I48" s="1">
        <v>26.566666666666663</v>
      </c>
      <c r="J48">
        <v>23</v>
      </c>
      <c r="K48" s="1">
        <f t="shared" si="0"/>
        <v>28.16709679736833</v>
      </c>
      <c r="L48" s="1">
        <v>23</v>
      </c>
      <c r="M48" s="1">
        <f t="shared" si="1"/>
        <v>28.16709679736833</v>
      </c>
      <c r="N48" t="str">
        <f t="shared" si="2"/>
        <v>RP</v>
      </c>
    </row>
    <row r="49" spans="1:14" x14ac:dyDescent="0.3">
      <c r="A49" t="s">
        <v>150</v>
      </c>
      <c r="B49" s="1">
        <v>7.2996587208000001</v>
      </c>
      <c r="C49" s="1">
        <v>6.666666666666667</v>
      </c>
      <c r="D49" s="1">
        <v>13</v>
      </c>
      <c r="E49" s="1">
        <v>46.156508575266663</v>
      </c>
      <c r="F49" s="1">
        <v>3.2</v>
      </c>
      <c r="G49" s="1">
        <v>10</v>
      </c>
      <c r="H49" s="1">
        <v>15</v>
      </c>
      <c r="I49" s="1">
        <v>46.449999999999996</v>
      </c>
      <c r="J49">
        <v>56</v>
      </c>
      <c r="K49" s="1">
        <f t="shared" si="0"/>
        <v>49.212278001343336</v>
      </c>
      <c r="L49" s="1">
        <v>41</v>
      </c>
      <c r="M49" s="1">
        <f t="shared" si="1"/>
        <v>49.212278001343336</v>
      </c>
      <c r="N49" t="str">
        <f t="shared" si="2"/>
        <v>RP</v>
      </c>
    </row>
    <row r="50" spans="1:14" x14ac:dyDescent="0.3">
      <c r="B50" s="1"/>
      <c r="C50" s="1"/>
      <c r="D50" s="1"/>
      <c r="E50" s="1"/>
      <c r="F50" s="1"/>
      <c r="G50" s="1"/>
      <c r="H50" s="1"/>
      <c r="I50" s="1"/>
    </row>
    <row r="51" spans="1:14" x14ac:dyDescent="0.3">
      <c r="B51" s="1"/>
      <c r="C51" s="1"/>
      <c r="D51" s="1"/>
      <c r="E51" s="1"/>
      <c r="F51" s="1"/>
      <c r="G51" s="1"/>
      <c r="H51" s="1"/>
      <c r="I51" s="1"/>
    </row>
    <row r="52" spans="1:14" x14ac:dyDescent="0.3">
      <c r="B52" s="1"/>
      <c r="C52" s="1"/>
      <c r="D52" s="1"/>
      <c r="E52" s="1"/>
      <c r="F52" s="1"/>
      <c r="G52" s="1"/>
      <c r="H52" s="1"/>
      <c r="I5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314B-C5D2-4604-9044-09199DFEB247}">
  <dimension ref="A1:N52"/>
  <sheetViews>
    <sheetView topLeftCell="A18" zoomScale="85" zoomScaleNormal="85" workbookViewId="0">
      <selection activeCell="N52" sqref="N52"/>
    </sheetView>
  </sheetViews>
  <sheetFormatPr defaultRowHeight="14.4" x14ac:dyDescent="0.3"/>
  <cols>
    <col min="3" max="3" width="10.44140625" bestFit="1" customWidth="1"/>
  </cols>
  <sheetData>
    <row r="1" spans="1:14" ht="43.2" x14ac:dyDescent="0.3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297</v>
      </c>
      <c r="L1" s="2" t="s">
        <v>298</v>
      </c>
      <c r="M1" s="2" t="s">
        <v>299</v>
      </c>
      <c r="N1" s="2" t="s">
        <v>300</v>
      </c>
    </row>
    <row r="2" spans="1:14" x14ac:dyDescent="0.3">
      <c r="A2" t="s">
        <v>151</v>
      </c>
      <c r="B2" s="1">
        <v>8.4459999999999997</v>
      </c>
      <c r="C2" s="1">
        <v>13</v>
      </c>
      <c r="D2" s="1">
        <v>34</v>
      </c>
      <c r="E2" s="1">
        <v>78.100999999999999</v>
      </c>
      <c r="F2" s="1">
        <v>8.8000000000000007</v>
      </c>
      <c r="G2" s="1">
        <v>11.666666666666666</v>
      </c>
      <c r="H2" s="1">
        <v>24</v>
      </c>
      <c r="I2" s="1">
        <v>68.566666666666663</v>
      </c>
      <c r="J2">
        <v>44</v>
      </c>
      <c r="K2" s="1">
        <f>(0.3*J2)+((E2+I2)*0.35)</f>
        <v>64.533683333333329</v>
      </c>
      <c r="L2" s="1">
        <v>78</v>
      </c>
      <c r="M2" s="1">
        <f>(0.7*(SUM(E2,I2,L2)-MIN(E2,I2,L2))/2)+(0.3*J2)</f>
        <v>67.835349999999991</v>
      </c>
      <c r="N2" t="str">
        <f>IF(M2&gt;59.5,"AP","RP")</f>
        <v>AP</v>
      </c>
    </row>
    <row r="3" spans="1:14" x14ac:dyDescent="0.3">
      <c r="A3" t="s">
        <v>152</v>
      </c>
      <c r="B3" s="1">
        <v>7.1280000000000001</v>
      </c>
      <c r="C3" s="1">
        <v>16.666666666666668</v>
      </c>
      <c r="D3" s="1">
        <v>27</v>
      </c>
      <c r="E3" s="1">
        <v>73.754666666666665</v>
      </c>
      <c r="F3" s="1">
        <v>9.1999999999999993</v>
      </c>
      <c r="G3" s="1">
        <v>11.666666666666666</v>
      </c>
      <c r="H3" s="1">
        <v>27</v>
      </c>
      <c r="I3" s="1">
        <v>73.766666666666666</v>
      </c>
      <c r="J3">
        <v>48</v>
      </c>
      <c r="K3" s="1">
        <f t="shared" ref="K3:K51" si="0">(0.3*J3)+((E3+I3)*0.35)</f>
        <v>66.032466666666664</v>
      </c>
      <c r="L3" s="1">
        <v>0</v>
      </c>
      <c r="M3" s="1">
        <f t="shared" ref="M3:M51" si="1">(0.7*(SUM(E3,I3,L3)-MIN(E3,I3,L3))/2)+(0.3*J3)</f>
        <v>66.032466666666664</v>
      </c>
      <c r="N3" t="str">
        <f t="shared" ref="N3:N51" si="2">IF(M3&gt;59.5,"AP","RP")</f>
        <v>AP</v>
      </c>
    </row>
    <row r="4" spans="1:14" x14ac:dyDescent="0.3">
      <c r="A4" t="s">
        <v>153</v>
      </c>
      <c r="B4" s="1">
        <v>5.2520000000000007</v>
      </c>
      <c r="C4" s="1">
        <v>7.333333333333333</v>
      </c>
      <c r="D4" s="1">
        <v>17</v>
      </c>
      <c r="E4" s="1">
        <v>51.888333333333335</v>
      </c>
      <c r="F4" s="1">
        <v>8.6</v>
      </c>
      <c r="G4" s="1">
        <v>9.3333333333333339</v>
      </c>
      <c r="H4" s="1">
        <v>16</v>
      </c>
      <c r="I4" s="1">
        <v>60.033333333333339</v>
      </c>
      <c r="J4">
        <v>49</v>
      </c>
      <c r="K4" s="1">
        <f t="shared" si="0"/>
        <v>53.872583333333338</v>
      </c>
      <c r="L4" s="1">
        <v>0</v>
      </c>
      <c r="M4" s="1">
        <f t="shared" si="1"/>
        <v>53.872583333333338</v>
      </c>
      <c r="N4" t="str">
        <f t="shared" si="2"/>
        <v>RP</v>
      </c>
    </row>
    <row r="5" spans="1:14" x14ac:dyDescent="0.3">
      <c r="A5" t="s">
        <v>154</v>
      </c>
      <c r="B5" s="1">
        <v>8.2319999999999993</v>
      </c>
      <c r="C5" s="1">
        <v>3</v>
      </c>
      <c r="D5" s="1">
        <v>5</v>
      </c>
      <c r="E5" s="1">
        <v>37.397999999999996</v>
      </c>
      <c r="F5" s="1">
        <v>9</v>
      </c>
      <c r="G5" s="1">
        <v>3.3333333333333335</v>
      </c>
      <c r="H5" s="1">
        <v>20</v>
      </c>
      <c r="I5" s="1">
        <v>52.833333333333336</v>
      </c>
      <c r="J5">
        <v>49</v>
      </c>
      <c r="K5" s="1">
        <f t="shared" si="0"/>
        <v>46.280966666666664</v>
      </c>
      <c r="L5" s="1">
        <v>47</v>
      </c>
      <c r="M5" s="1">
        <f t="shared" si="1"/>
        <v>49.641666666666666</v>
      </c>
      <c r="N5" t="str">
        <f t="shared" si="2"/>
        <v>RP</v>
      </c>
    </row>
    <row r="6" spans="1:14" x14ac:dyDescent="0.3">
      <c r="A6" t="s">
        <v>155</v>
      </c>
      <c r="B6" s="1">
        <v>7.92</v>
      </c>
      <c r="C6" s="1">
        <v>8.6666666666666661</v>
      </c>
      <c r="D6" s="1">
        <v>18</v>
      </c>
      <c r="E6" s="1">
        <v>54.094666666666662</v>
      </c>
      <c r="F6" s="1">
        <v>7.8</v>
      </c>
      <c r="G6" s="1">
        <v>14.666666666666666</v>
      </c>
      <c r="H6" s="1">
        <v>8</v>
      </c>
      <c r="I6" s="1">
        <v>50.166666666666664</v>
      </c>
      <c r="J6">
        <v>46</v>
      </c>
      <c r="K6" s="1">
        <f t="shared" si="0"/>
        <v>50.291466666666658</v>
      </c>
      <c r="L6" s="1">
        <v>78</v>
      </c>
      <c r="M6" s="1">
        <f t="shared" si="1"/>
        <v>60.033133333333325</v>
      </c>
      <c r="N6" t="str">
        <f t="shared" si="2"/>
        <v>AP</v>
      </c>
    </row>
    <row r="7" spans="1:14" x14ac:dyDescent="0.3">
      <c r="A7" t="s">
        <v>156</v>
      </c>
      <c r="B7" s="1">
        <v>4.9279999999999999</v>
      </c>
      <c r="C7" s="1">
        <v>6</v>
      </c>
      <c r="D7" s="1">
        <v>5</v>
      </c>
      <c r="E7" s="1">
        <v>29.568000000000001</v>
      </c>
      <c r="F7" s="1">
        <v>4.2</v>
      </c>
      <c r="G7" s="1">
        <v>6.666666666666667</v>
      </c>
      <c r="H7" s="1">
        <v>11</v>
      </c>
      <c r="I7" s="1">
        <v>39.866666666666667</v>
      </c>
      <c r="J7">
        <v>19</v>
      </c>
      <c r="K7" s="1">
        <f t="shared" si="0"/>
        <v>30.002133333333333</v>
      </c>
      <c r="L7" s="1">
        <v>0</v>
      </c>
      <c r="M7" s="1">
        <f t="shared" si="1"/>
        <v>30.002133333333333</v>
      </c>
      <c r="N7" t="str">
        <f t="shared" si="2"/>
        <v>RP</v>
      </c>
    </row>
    <row r="8" spans="1:14" x14ac:dyDescent="0.3">
      <c r="A8" t="s">
        <v>157</v>
      </c>
      <c r="B8" s="1">
        <v>5.13</v>
      </c>
      <c r="C8" s="1">
        <v>10.333333333333334</v>
      </c>
      <c r="D8" s="1">
        <v>13</v>
      </c>
      <c r="E8" s="1">
        <v>52.724333333333334</v>
      </c>
      <c r="F8" s="1">
        <v>8.8000000000000007</v>
      </c>
      <c r="G8" s="1">
        <v>10.666666666666666</v>
      </c>
      <c r="H8" s="1">
        <v>29</v>
      </c>
      <c r="I8" s="1">
        <v>71.866666666666674</v>
      </c>
      <c r="J8">
        <v>56</v>
      </c>
      <c r="K8" s="1">
        <f t="shared" si="0"/>
        <v>60.406850000000006</v>
      </c>
      <c r="L8" s="1">
        <v>59</v>
      </c>
      <c r="M8" s="1">
        <f t="shared" si="1"/>
        <v>62.603333333333339</v>
      </c>
      <c r="N8" t="str">
        <f t="shared" si="2"/>
        <v>AP</v>
      </c>
    </row>
    <row r="9" spans="1:14" x14ac:dyDescent="0.3">
      <c r="A9" t="s">
        <v>158</v>
      </c>
      <c r="B9" s="1">
        <v>7.6</v>
      </c>
      <c r="C9" s="1">
        <v>6.666666666666667</v>
      </c>
      <c r="D9" s="1">
        <v>6</v>
      </c>
      <c r="E9" s="1">
        <v>42.900666666666666</v>
      </c>
      <c r="F9" s="1">
        <v>7.4</v>
      </c>
      <c r="G9" s="1">
        <v>6.666666666666667</v>
      </c>
      <c r="H9" s="1">
        <v>17</v>
      </c>
      <c r="I9" s="1">
        <v>51.966666666666669</v>
      </c>
      <c r="J9">
        <v>35</v>
      </c>
      <c r="K9" s="1">
        <f t="shared" si="0"/>
        <v>43.703566666666667</v>
      </c>
      <c r="L9" s="1">
        <v>0</v>
      </c>
      <c r="M9" s="1">
        <f t="shared" si="1"/>
        <v>43.703566666666667</v>
      </c>
      <c r="N9" t="str">
        <f t="shared" si="2"/>
        <v>RP</v>
      </c>
    </row>
    <row r="10" spans="1:14" x14ac:dyDescent="0.3">
      <c r="A10" t="s">
        <v>159</v>
      </c>
      <c r="B10" s="1">
        <v>8.08</v>
      </c>
      <c r="C10" s="1">
        <v>12</v>
      </c>
      <c r="D10" s="1">
        <v>31</v>
      </c>
      <c r="E10" s="1">
        <v>73.239999999999995</v>
      </c>
      <c r="F10" s="1">
        <v>9</v>
      </c>
      <c r="G10" s="1">
        <v>13.666666666666666</v>
      </c>
      <c r="H10" s="1">
        <v>33</v>
      </c>
      <c r="I10" s="1">
        <v>81.266666666666666</v>
      </c>
      <c r="J10">
        <v>48</v>
      </c>
      <c r="K10" s="1">
        <f t="shared" si="0"/>
        <v>68.47733333333332</v>
      </c>
      <c r="L10" s="1">
        <v>0</v>
      </c>
      <c r="M10" s="1">
        <f t="shared" si="1"/>
        <v>68.47733333333332</v>
      </c>
      <c r="N10" t="str">
        <f t="shared" si="2"/>
        <v>AP</v>
      </c>
    </row>
    <row r="11" spans="1:14" x14ac:dyDescent="0.3">
      <c r="A11" t="s">
        <v>160</v>
      </c>
      <c r="B11" s="1">
        <v>8.282</v>
      </c>
      <c r="C11" s="1">
        <v>8.6666666666666661</v>
      </c>
      <c r="D11" s="1">
        <v>9</v>
      </c>
      <c r="E11" s="1">
        <v>49.859666666666662</v>
      </c>
      <c r="F11" s="1">
        <v>8.8000000000000007</v>
      </c>
      <c r="G11" s="1">
        <v>12.333333333333334</v>
      </c>
      <c r="H11" s="1">
        <v>21</v>
      </c>
      <c r="I11" s="1">
        <v>67.433333333333337</v>
      </c>
      <c r="J11">
        <v>40</v>
      </c>
      <c r="K11" s="1">
        <f t="shared" si="0"/>
        <v>53.052549999999997</v>
      </c>
      <c r="L11" s="1">
        <v>0</v>
      </c>
      <c r="M11" s="1">
        <f t="shared" si="1"/>
        <v>53.052549999999997</v>
      </c>
      <c r="N11" t="str">
        <f t="shared" si="2"/>
        <v>RP</v>
      </c>
    </row>
    <row r="12" spans="1:14" x14ac:dyDescent="0.3">
      <c r="A12" t="s">
        <v>161</v>
      </c>
      <c r="B12" s="1">
        <v>6.4</v>
      </c>
      <c r="C12" s="1">
        <v>7.666666666666667</v>
      </c>
      <c r="D12" s="1">
        <v>5</v>
      </c>
      <c r="E12" s="1">
        <v>40.900666666666666</v>
      </c>
      <c r="F12" s="1">
        <v>8.1999999999999993</v>
      </c>
      <c r="G12" s="1">
        <v>7</v>
      </c>
      <c r="H12" s="1">
        <v>21</v>
      </c>
      <c r="I12" s="1">
        <v>60.9</v>
      </c>
      <c r="J12">
        <v>50</v>
      </c>
      <c r="K12" s="1">
        <f t="shared" si="0"/>
        <v>50.630233333333329</v>
      </c>
      <c r="L12" s="1">
        <v>41</v>
      </c>
      <c r="M12" s="1">
        <f t="shared" si="1"/>
        <v>50.664999999999999</v>
      </c>
      <c r="N12" t="str">
        <f t="shared" si="2"/>
        <v>RP</v>
      </c>
    </row>
    <row r="13" spans="1:14" x14ac:dyDescent="0.3">
      <c r="A13" t="s">
        <v>162</v>
      </c>
      <c r="B13" s="1">
        <v>4.3559999999999999</v>
      </c>
      <c r="C13" s="1">
        <v>5</v>
      </c>
      <c r="D13" s="1">
        <v>19</v>
      </c>
      <c r="E13" s="1">
        <v>51.122</v>
      </c>
      <c r="F13" s="1">
        <v>8.6</v>
      </c>
      <c r="G13" s="1">
        <v>11</v>
      </c>
      <c r="H13" s="1">
        <v>17</v>
      </c>
      <c r="I13" s="1">
        <v>60.6</v>
      </c>
      <c r="J13">
        <v>45</v>
      </c>
      <c r="K13" s="1">
        <f t="shared" si="0"/>
        <v>52.602699999999999</v>
      </c>
      <c r="L13" s="1">
        <v>38</v>
      </c>
      <c r="M13" s="1">
        <f t="shared" si="1"/>
        <v>52.602699999999999</v>
      </c>
      <c r="N13" t="str">
        <f t="shared" si="2"/>
        <v>RP</v>
      </c>
    </row>
    <row r="14" spans="1:14" x14ac:dyDescent="0.3">
      <c r="A14" t="s">
        <v>163</v>
      </c>
      <c r="B14" s="1">
        <v>6.7320000000000002</v>
      </c>
      <c r="C14" s="1">
        <v>10.666666666666666</v>
      </c>
      <c r="D14" s="1">
        <v>15</v>
      </c>
      <c r="E14" s="1">
        <v>55.557666666666663</v>
      </c>
      <c r="F14" s="1">
        <v>9.6</v>
      </c>
      <c r="G14" s="1">
        <v>13.333333333333334</v>
      </c>
      <c r="H14" s="1">
        <v>24</v>
      </c>
      <c r="I14" s="1">
        <v>72.733333333333334</v>
      </c>
      <c r="J14">
        <v>64</v>
      </c>
      <c r="K14" s="1">
        <f t="shared" si="0"/>
        <v>64.101849999999999</v>
      </c>
      <c r="L14" s="1">
        <v>0</v>
      </c>
      <c r="M14" s="1">
        <f t="shared" si="1"/>
        <v>64.101849999999999</v>
      </c>
      <c r="N14" t="str">
        <f t="shared" si="2"/>
        <v>AP</v>
      </c>
    </row>
    <row r="15" spans="1:14" x14ac:dyDescent="0.3">
      <c r="A15" t="s">
        <v>164</v>
      </c>
      <c r="B15" s="1">
        <v>7.8279999999999994</v>
      </c>
      <c r="C15" s="1">
        <v>9.3333333333333339</v>
      </c>
      <c r="D15" s="1">
        <v>27</v>
      </c>
      <c r="E15" s="1">
        <v>69.272333333333336</v>
      </c>
      <c r="F15" s="1">
        <v>8.4</v>
      </c>
      <c r="G15" s="1">
        <v>9.6666666666666661</v>
      </c>
      <c r="H15" s="1">
        <v>21</v>
      </c>
      <c r="I15" s="1">
        <v>64.166666666666657</v>
      </c>
      <c r="J15">
        <v>54</v>
      </c>
      <c r="K15" s="1">
        <f t="shared" si="0"/>
        <v>62.903649999999999</v>
      </c>
      <c r="L15" s="1">
        <v>0</v>
      </c>
      <c r="M15" s="1">
        <f t="shared" si="1"/>
        <v>62.903649999999999</v>
      </c>
      <c r="N15" t="str">
        <f t="shared" si="2"/>
        <v>AP</v>
      </c>
    </row>
    <row r="16" spans="1:14" x14ac:dyDescent="0.3">
      <c r="A16" t="s">
        <v>165</v>
      </c>
      <c r="B16" s="1">
        <v>26.78</v>
      </c>
      <c r="C16" s="1">
        <v>3.3333333333333335</v>
      </c>
      <c r="D16" s="1">
        <v>17</v>
      </c>
      <c r="E16" s="1">
        <v>68.465333333333334</v>
      </c>
      <c r="F16" s="1">
        <v>7.2</v>
      </c>
      <c r="G16" s="1">
        <v>3.3333333333333335</v>
      </c>
      <c r="H16" s="1">
        <v>21</v>
      </c>
      <c r="I16" s="1">
        <v>52.233333333333334</v>
      </c>
      <c r="J16">
        <v>46</v>
      </c>
      <c r="K16" s="1">
        <f t="shared" si="0"/>
        <v>56.044533333333327</v>
      </c>
      <c r="L16" s="1">
        <v>50</v>
      </c>
      <c r="M16" s="1">
        <f t="shared" si="1"/>
        <v>56.044533333333327</v>
      </c>
      <c r="N16" t="str">
        <f t="shared" si="2"/>
        <v>RP</v>
      </c>
    </row>
    <row r="17" spans="1:14" x14ac:dyDescent="0.3">
      <c r="A17" t="s">
        <v>166</v>
      </c>
      <c r="B17" s="1">
        <v>5.6320000000000006</v>
      </c>
      <c r="C17" s="1">
        <v>6.333333333333333</v>
      </c>
      <c r="D17" s="1">
        <v>7</v>
      </c>
      <c r="E17" s="1">
        <v>40.51133333333334</v>
      </c>
      <c r="F17" s="1">
        <v>9.1999999999999993</v>
      </c>
      <c r="G17" s="1">
        <v>6.666666666666667</v>
      </c>
      <c r="H17" s="1">
        <v>21</v>
      </c>
      <c r="I17" s="1">
        <v>60.966666666666661</v>
      </c>
      <c r="J17">
        <v>42</v>
      </c>
      <c r="K17" s="1">
        <f t="shared" si="0"/>
        <v>48.1173</v>
      </c>
      <c r="L17" s="1">
        <v>35</v>
      </c>
      <c r="M17" s="1">
        <f t="shared" si="1"/>
        <v>48.1173</v>
      </c>
      <c r="N17" t="str">
        <f t="shared" si="2"/>
        <v>RP</v>
      </c>
    </row>
    <row r="18" spans="1:14" x14ac:dyDescent="0.3">
      <c r="A18" t="s">
        <v>167</v>
      </c>
      <c r="B18" s="1">
        <v>7.9539999999999988</v>
      </c>
      <c r="C18" s="1">
        <v>5</v>
      </c>
      <c r="D18" s="1">
        <v>8</v>
      </c>
      <c r="E18" s="1">
        <v>41.6</v>
      </c>
      <c r="F18" s="1">
        <v>6.8</v>
      </c>
      <c r="G18" s="1">
        <v>6.333333333333333</v>
      </c>
      <c r="H18" s="1">
        <v>0</v>
      </c>
      <c r="I18" s="1">
        <v>33.233333333333334</v>
      </c>
      <c r="J18">
        <v>40</v>
      </c>
      <c r="K18" s="1">
        <f t="shared" si="0"/>
        <v>38.19166666666667</v>
      </c>
      <c r="L18" s="1">
        <v>0</v>
      </c>
      <c r="M18" s="1">
        <f t="shared" si="1"/>
        <v>38.19166666666667</v>
      </c>
      <c r="N18" t="str">
        <f t="shared" si="2"/>
        <v>RP</v>
      </c>
    </row>
    <row r="19" spans="1:14" x14ac:dyDescent="0.3">
      <c r="A19" t="s">
        <v>168</v>
      </c>
      <c r="B19" s="1">
        <v>27.3</v>
      </c>
      <c r="C19" s="1">
        <v>7.666666666666667</v>
      </c>
      <c r="D19" s="1">
        <v>10</v>
      </c>
      <c r="E19" s="1">
        <v>68.23266666666666</v>
      </c>
      <c r="F19" s="1">
        <v>8.8000000000000007</v>
      </c>
      <c r="G19" s="1">
        <v>13.333333333333334</v>
      </c>
      <c r="H19" s="1">
        <v>12</v>
      </c>
      <c r="I19" s="1">
        <v>56.933333333333337</v>
      </c>
      <c r="J19">
        <v>74</v>
      </c>
      <c r="K19" s="1">
        <f t="shared" si="0"/>
        <v>66.008099999999999</v>
      </c>
      <c r="L19" s="1">
        <v>0</v>
      </c>
      <c r="M19" s="1">
        <f t="shared" si="1"/>
        <v>66.008099999999999</v>
      </c>
      <c r="N19" t="str">
        <f t="shared" si="2"/>
        <v>AP</v>
      </c>
    </row>
    <row r="20" spans="1:14" x14ac:dyDescent="0.3">
      <c r="A20" t="s">
        <v>169</v>
      </c>
      <c r="B20" s="1">
        <v>8.4459999999999997</v>
      </c>
      <c r="C20" s="1">
        <v>7.333333333333333</v>
      </c>
      <c r="D20" s="1">
        <v>12</v>
      </c>
      <c r="E20" s="1">
        <v>50.767333333333333</v>
      </c>
      <c r="F20" s="1">
        <v>9.4</v>
      </c>
      <c r="G20" s="1">
        <v>4.333333333333333</v>
      </c>
      <c r="H20" s="1">
        <v>16</v>
      </c>
      <c r="I20" s="1">
        <v>54.933333333333337</v>
      </c>
      <c r="J20">
        <v>70</v>
      </c>
      <c r="K20" s="1">
        <f t="shared" si="0"/>
        <v>57.995233333333331</v>
      </c>
      <c r="L20" s="1">
        <v>48</v>
      </c>
      <c r="M20" s="1">
        <f t="shared" si="1"/>
        <v>57.995233333333331</v>
      </c>
      <c r="N20" t="str">
        <f t="shared" si="2"/>
        <v>RP</v>
      </c>
    </row>
    <row r="21" spans="1:14" x14ac:dyDescent="0.3">
      <c r="A21" t="s">
        <v>170</v>
      </c>
      <c r="B21" s="1">
        <v>6.7200000000000006</v>
      </c>
      <c r="C21" s="1">
        <v>8.3333333333333339</v>
      </c>
      <c r="D21" s="1">
        <v>20</v>
      </c>
      <c r="E21" s="1">
        <v>57.942333333333337</v>
      </c>
      <c r="F21" s="1">
        <v>8.6</v>
      </c>
      <c r="G21" s="1">
        <v>10</v>
      </c>
      <c r="H21" s="1">
        <v>31</v>
      </c>
      <c r="I21" s="1">
        <v>74.7</v>
      </c>
      <c r="J21">
        <v>53</v>
      </c>
      <c r="K21" s="1">
        <f t="shared" si="0"/>
        <v>62.324816666666663</v>
      </c>
      <c r="L21" s="1">
        <v>0</v>
      </c>
      <c r="M21" s="1">
        <f t="shared" si="1"/>
        <v>62.324816666666663</v>
      </c>
      <c r="N21" t="str">
        <f t="shared" si="2"/>
        <v>AP</v>
      </c>
    </row>
    <row r="22" spans="1:14" x14ac:dyDescent="0.3">
      <c r="A22" t="s">
        <v>171</v>
      </c>
      <c r="B22" s="1">
        <v>5.2080000000000002</v>
      </c>
      <c r="C22" s="1">
        <v>3.3333333333333335</v>
      </c>
      <c r="D22" s="1">
        <v>13</v>
      </c>
      <c r="E22" s="1">
        <v>45.086333333333336</v>
      </c>
      <c r="F22" s="1">
        <v>8.6</v>
      </c>
      <c r="G22" s="1">
        <v>7</v>
      </c>
      <c r="H22" s="1">
        <v>24</v>
      </c>
      <c r="I22" s="1">
        <v>63.800000000000004</v>
      </c>
      <c r="J22">
        <v>53</v>
      </c>
      <c r="K22" s="1">
        <f t="shared" si="0"/>
        <v>54.010216666666665</v>
      </c>
      <c r="L22" s="1">
        <v>43</v>
      </c>
      <c r="M22" s="1">
        <f t="shared" si="1"/>
        <v>54.010216666666665</v>
      </c>
      <c r="N22" t="str">
        <f t="shared" si="2"/>
        <v>RP</v>
      </c>
    </row>
    <row r="23" spans="1:14" x14ac:dyDescent="0.3">
      <c r="A23" t="s">
        <v>172</v>
      </c>
      <c r="B23" s="1">
        <v>5.4540000000000006</v>
      </c>
      <c r="C23" s="1">
        <v>7.333333333333333</v>
      </c>
      <c r="D23" s="1">
        <v>8</v>
      </c>
      <c r="E23" s="1">
        <v>38.543333333333337</v>
      </c>
      <c r="F23" s="1">
        <v>8.4</v>
      </c>
      <c r="G23" s="1">
        <v>13.666666666666666</v>
      </c>
      <c r="H23" s="1">
        <v>31</v>
      </c>
      <c r="I23" s="1">
        <v>75.866666666666674</v>
      </c>
      <c r="J23">
        <v>55</v>
      </c>
      <c r="K23" s="1">
        <f t="shared" si="0"/>
        <v>56.543500000000002</v>
      </c>
      <c r="L23" s="1">
        <v>60</v>
      </c>
      <c r="M23" s="1">
        <f t="shared" si="1"/>
        <v>64.053333333333342</v>
      </c>
      <c r="N23" t="str">
        <f t="shared" si="2"/>
        <v>AP</v>
      </c>
    </row>
    <row r="24" spans="1:14" x14ac:dyDescent="0.3">
      <c r="A24" t="s">
        <v>173</v>
      </c>
      <c r="B24" s="1">
        <v>7.7899999999999991</v>
      </c>
      <c r="C24" s="1">
        <v>10.333333333333334</v>
      </c>
      <c r="D24" s="1">
        <v>22</v>
      </c>
      <c r="E24" s="1">
        <v>62.368333333333332</v>
      </c>
      <c r="F24" s="1">
        <v>8.8000000000000007</v>
      </c>
      <c r="G24" s="1">
        <v>9.3333333333333339</v>
      </c>
      <c r="H24" s="1">
        <v>29</v>
      </c>
      <c r="I24" s="1">
        <v>73.433333333333337</v>
      </c>
      <c r="J24">
        <v>38</v>
      </c>
      <c r="K24" s="1">
        <f t="shared" si="0"/>
        <v>58.930583333333331</v>
      </c>
      <c r="L24" s="1">
        <v>65</v>
      </c>
      <c r="M24" s="1">
        <f t="shared" si="1"/>
        <v>59.851666666666667</v>
      </c>
      <c r="N24" t="str">
        <f t="shared" si="2"/>
        <v>AP</v>
      </c>
    </row>
    <row r="25" spans="1:14" x14ac:dyDescent="0.3">
      <c r="A25" t="s">
        <v>174</v>
      </c>
      <c r="B25" s="1">
        <v>5.5620000000000003</v>
      </c>
      <c r="C25" s="1">
        <v>7.666666666666667</v>
      </c>
      <c r="D25" s="1">
        <v>14</v>
      </c>
      <c r="E25" s="1">
        <v>50.955666666666666</v>
      </c>
      <c r="F25" s="1">
        <v>8.4</v>
      </c>
      <c r="G25" s="1">
        <v>13</v>
      </c>
      <c r="H25" s="1">
        <v>16</v>
      </c>
      <c r="I25" s="1">
        <v>55.6</v>
      </c>
      <c r="J25">
        <v>67</v>
      </c>
      <c r="K25" s="1">
        <f t="shared" si="0"/>
        <v>57.394483333333326</v>
      </c>
      <c r="L25" s="1">
        <v>58</v>
      </c>
      <c r="M25" s="1">
        <f t="shared" si="1"/>
        <v>59.86</v>
      </c>
      <c r="N25" t="str">
        <f t="shared" si="2"/>
        <v>AP</v>
      </c>
    </row>
    <row r="26" spans="1:14" x14ac:dyDescent="0.3">
      <c r="A26" t="s">
        <v>175</v>
      </c>
      <c r="B26" s="1">
        <v>8.484</v>
      </c>
      <c r="C26" s="1">
        <v>13</v>
      </c>
      <c r="D26" s="1">
        <v>14</v>
      </c>
      <c r="E26" s="1">
        <v>59.317999999999998</v>
      </c>
      <c r="F26" s="1">
        <v>9.1999999999999993</v>
      </c>
      <c r="G26" s="1">
        <v>12</v>
      </c>
      <c r="H26" s="1">
        <v>19</v>
      </c>
      <c r="I26" s="1">
        <v>65.8</v>
      </c>
      <c r="J26">
        <v>79</v>
      </c>
      <c r="K26" s="1">
        <f t="shared" si="0"/>
        <v>67.491299999999995</v>
      </c>
      <c r="L26" s="1">
        <v>68</v>
      </c>
      <c r="M26" s="1">
        <f t="shared" si="1"/>
        <v>70.53</v>
      </c>
      <c r="N26" t="str">
        <f t="shared" si="2"/>
        <v>AP</v>
      </c>
    </row>
    <row r="27" spans="1:14" x14ac:dyDescent="0.3">
      <c r="A27" t="s">
        <v>176</v>
      </c>
      <c r="B27" s="1">
        <v>8.08</v>
      </c>
      <c r="C27" s="1">
        <v>10</v>
      </c>
      <c r="D27" s="1">
        <v>22</v>
      </c>
      <c r="E27" s="1">
        <v>62.039000000000001</v>
      </c>
      <c r="F27" s="1">
        <v>9.6</v>
      </c>
      <c r="G27" s="1">
        <v>13.333333333333334</v>
      </c>
      <c r="H27" s="1">
        <v>30</v>
      </c>
      <c r="I27" s="1">
        <v>77.533333333333331</v>
      </c>
      <c r="J27">
        <v>38</v>
      </c>
      <c r="K27" s="1">
        <f t="shared" si="0"/>
        <v>60.25031666666667</v>
      </c>
      <c r="L27" s="1">
        <v>51</v>
      </c>
      <c r="M27" s="1">
        <f t="shared" si="1"/>
        <v>60.25031666666667</v>
      </c>
      <c r="N27" t="str">
        <f t="shared" si="2"/>
        <v>AP</v>
      </c>
    </row>
    <row r="28" spans="1:14" x14ac:dyDescent="0.3">
      <c r="A28" t="s">
        <v>177</v>
      </c>
      <c r="B28" s="1">
        <v>4.2</v>
      </c>
      <c r="C28" s="1">
        <v>5</v>
      </c>
      <c r="D28" s="1">
        <v>0</v>
      </c>
      <c r="E28" s="1">
        <v>24.116</v>
      </c>
      <c r="F28" s="1">
        <v>9.4</v>
      </c>
      <c r="G28" s="1">
        <v>2.3333333333333335</v>
      </c>
      <c r="H28" s="1">
        <v>8</v>
      </c>
      <c r="I28" s="1">
        <v>39.733333333333334</v>
      </c>
      <c r="J28">
        <v>80</v>
      </c>
      <c r="K28" s="1">
        <f t="shared" si="0"/>
        <v>46.34726666666667</v>
      </c>
      <c r="L28" s="1">
        <v>29</v>
      </c>
      <c r="M28" s="1">
        <f t="shared" si="1"/>
        <v>48.056666666666665</v>
      </c>
      <c r="N28" t="str">
        <f t="shared" si="2"/>
        <v>RP</v>
      </c>
    </row>
    <row r="29" spans="1:14" x14ac:dyDescent="0.3">
      <c r="A29" t="s">
        <v>178</v>
      </c>
      <c r="B29" s="1">
        <v>8.4459999999999997</v>
      </c>
      <c r="C29" s="1">
        <v>10.666666666666666</v>
      </c>
      <c r="D29" s="1">
        <v>6</v>
      </c>
      <c r="E29" s="1">
        <v>48.349666666666664</v>
      </c>
      <c r="F29" s="1">
        <v>8.8000000000000007</v>
      </c>
      <c r="G29" s="1">
        <v>10.333333333333334</v>
      </c>
      <c r="H29" s="1">
        <v>27</v>
      </c>
      <c r="I29" s="1">
        <v>71.633333333333326</v>
      </c>
      <c r="J29">
        <v>54</v>
      </c>
      <c r="K29" s="1">
        <f t="shared" si="0"/>
        <v>58.19404999999999</v>
      </c>
      <c r="L29" s="1">
        <v>72</v>
      </c>
      <c r="M29" s="1">
        <f t="shared" si="1"/>
        <v>66.471666666666664</v>
      </c>
      <c r="N29" t="str">
        <f t="shared" si="2"/>
        <v>AP</v>
      </c>
    </row>
    <row r="30" spans="1:14" x14ac:dyDescent="0.3">
      <c r="A30" t="s">
        <v>179</v>
      </c>
      <c r="B30" s="1">
        <v>26.26</v>
      </c>
      <c r="C30" s="1">
        <v>8.6666666666666661</v>
      </c>
      <c r="D30" s="1">
        <v>8</v>
      </c>
      <c r="E30" s="1">
        <v>67.094666666666654</v>
      </c>
      <c r="F30" s="1">
        <v>8.8000000000000007</v>
      </c>
      <c r="G30" s="1">
        <v>6.666666666666667</v>
      </c>
      <c r="H30" s="1">
        <v>18</v>
      </c>
      <c r="I30" s="1">
        <v>53.366666666666667</v>
      </c>
      <c r="J30">
        <v>75</v>
      </c>
      <c r="K30" s="1">
        <f t="shared" si="0"/>
        <v>64.661466666666655</v>
      </c>
      <c r="L30" s="1">
        <v>0</v>
      </c>
      <c r="M30" s="1">
        <f t="shared" si="1"/>
        <v>64.661466666666655</v>
      </c>
      <c r="N30" t="str">
        <f t="shared" si="2"/>
        <v>AP</v>
      </c>
    </row>
    <row r="31" spans="1:14" x14ac:dyDescent="0.3">
      <c r="A31" t="s">
        <v>180</v>
      </c>
      <c r="B31" s="1">
        <v>8.6</v>
      </c>
      <c r="C31" s="1">
        <v>6.333333333333333</v>
      </c>
      <c r="D31" s="1">
        <v>8</v>
      </c>
      <c r="E31" s="1">
        <v>46.333333333333336</v>
      </c>
      <c r="F31" s="1">
        <v>8.8000000000000007</v>
      </c>
      <c r="G31" s="1">
        <v>8</v>
      </c>
      <c r="H31" s="1">
        <v>26</v>
      </c>
      <c r="I31" s="1">
        <v>68.099999999999994</v>
      </c>
      <c r="J31">
        <v>40</v>
      </c>
      <c r="K31" s="1">
        <f t="shared" si="0"/>
        <v>52.051666666666662</v>
      </c>
      <c r="L31" s="1">
        <v>55</v>
      </c>
      <c r="M31" s="1">
        <f t="shared" si="1"/>
        <v>55.084999999999994</v>
      </c>
      <c r="N31" t="str">
        <f t="shared" si="2"/>
        <v>RP</v>
      </c>
    </row>
    <row r="32" spans="1:14" x14ac:dyDescent="0.3">
      <c r="A32" t="s">
        <v>181</v>
      </c>
      <c r="B32" s="1">
        <v>8.282</v>
      </c>
      <c r="C32" s="1">
        <v>6.666666666666667</v>
      </c>
      <c r="D32" s="1">
        <v>11</v>
      </c>
      <c r="E32" s="1">
        <v>47.748666666666665</v>
      </c>
      <c r="F32" s="1">
        <v>8.1999999999999993</v>
      </c>
      <c r="G32" s="1">
        <v>7.666666666666667</v>
      </c>
      <c r="H32" s="1">
        <v>22</v>
      </c>
      <c r="I32" s="1">
        <v>63.666666666666664</v>
      </c>
      <c r="J32">
        <v>70</v>
      </c>
      <c r="K32" s="1">
        <f t="shared" si="0"/>
        <v>59.995366666666662</v>
      </c>
      <c r="L32" s="1">
        <v>0</v>
      </c>
      <c r="M32" s="1">
        <f t="shared" si="1"/>
        <v>59.995366666666662</v>
      </c>
      <c r="N32" t="str">
        <f t="shared" si="2"/>
        <v>AP</v>
      </c>
    </row>
    <row r="33" spans="1:14" x14ac:dyDescent="0.3">
      <c r="A33" t="s">
        <v>182</v>
      </c>
      <c r="B33" s="1">
        <v>6.4</v>
      </c>
      <c r="C33" s="1">
        <v>10</v>
      </c>
      <c r="D33" s="1">
        <v>20</v>
      </c>
      <c r="E33" s="1">
        <v>53.533999999999999</v>
      </c>
      <c r="F33" s="1">
        <v>8.6</v>
      </c>
      <c r="G33" s="1">
        <v>8.6666666666666661</v>
      </c>
      <c r="H33" s="1">
        <v>18</v>
      </c>
      <c r="I33" s="1">
        <v>54.466666666666661</v>
      </c>
      <c r="J33">
        <v>47</v>
      </c>
      <c r="K33" s="1">
        <f t="shared" si="0"/>
        <v>51.900233333333333</v>
      </c>
      <c r="L33" s="1">
        <v>63</v>
      </c>
      <c r="M33" s="1">
        <f t="shared" si="1"/>
        <v>55.213333333333331</v>
      </c>
      <c r="N33" t="str">
        <f t="shared" si="2"/>
        <v>RP</v>
      </c>
    </row>
    <row r="34" spans="1:14" x14ac:dyDescent="0.3">
      <c r="A34" t="s">
        <v>183</v>
      </c>
      <c r="B34" s="1">
        <v>7.3440000000000003</v>
      </c>
      <c r="C34" s="1">
        <v>10</v>
      </c>
      <c r="D34" s="1">
        <v>19</v>
      </c>
      <c r="E34" s="1">
        <v>60.804000000000002</v>
      </c>
      <c r="F34" s="1">
        <v>8.6</v>
      </c>
      <c r="G34" s="1">
        <v>11.666666666666666</v>
      </c>
      <c r="H34" s="1">
        <v>30</v>
      </c>
      <c r="I34" s="1">
        <v>74.36666666666666</v>
      </c>
      <c r="J34">
        <v>58</v>
      </c>
      <c r="K34" s="1">
        <f t="shared" si="0"/>
        <v>64.709733333333332</v>
      </c>
      <c r="L34" s="1">
        <v>0</v>
      </c>
      <c r="M34" s="1">
        <f t="shared" si="1"/>
        <v>64.709733333333332</v>
      </c>
      <c r="N34" t="str">
        <f t="shared" si="2"/>
        <v>AP</v>
      </c>
    </row>
    <row r="35" spans="1:14" x14ac:dyDescent="0.3">
      <c r="A35" t="s">
        <v>184</v>
      </c>
      <c r="B35" s="1">
        <v>5.3560000000000008</v>
      </c>
      <c r="C35" s="1">
        <v>6.333333333333333</v>
      </c>
      <c r="D35" s="1">
        <v>13</v>
      </c>
      <c r="E35" s="1">
        <v>42.502333333333333</v>
      </c>
      <c r="F35" s="1">
        <v>9</v>
      </c>
      <c r="G35" s="1">
        <v>11.666666666666666</v>
      </c>
      <c r="H35" s="1">
        <v>28</v>
      </c>
      <c r="I35" s="1">
        <v>70.666666666666657</v>
      </c>
      <c r="J35">
        <v>34</v>
      </c>
      <c r="K35" s="1">
        <f t="shared" si="0"/>
        <v>49.809149999999988</v>
      </c>
      <c r="L35" s="1">
        <v>35</v>
      </c>
      <c r="M35" s="1">
        <f t="shared" si="1"/>
        <v>49.809149999999988</v>
      </c>
      <c r="N35" t="str">
        <f t="shared" si="2"/>
        <v>RP</v>
      </c>
    </row>
    <row r="36" spans="1:14" x14ac:dyDescent="0.3">
      <c r="A36" t="s">
        <v>185</v>
      </c>
      <c r="B36" s="1">
        <v>8.2319999999999993</v>
      </c>
      <c r="C36" s="1">
        <v>4.666666666666667</v>
      </c>
      <c r="D36" s="1">
        <v>10</v>
      </c>
      <c r="E36" s="1">
        <v>45.030666666666669</v>
      </c>
      <c r="F36" s="1">
        <v>9.4</v>
      </c>
      <c r="G36" s="1">
        <v>13</v>
      </c>
      <c r="H36" s="1">
        <v>16</v>
      </c>
      <c r="I36" s="1">
        <v>58.2</v>
      </c>
      <c r="J36">
        <v>60</v>
      </c>
      <c r="K36" s="1">
        <f t="shared" si="0"/>
        <v>54.130733333333332</v>
      </c>
      <c r="L36" s="1">
        <v>39</v>
      </c>
      <c r="M36" s="1">
        <f t="shared" si="1"/>
        <v>54.130733333333332</v>
      </c>
      <c r="N36" t="str">
        <f t="shared" si="2"/>
        <v>RP</v>
      </c>
    </row>
    <row r="37" spans="1:14" x14ac:dyDescent="0.3">
      <c r="A37" t="s">
        <v>186</v>
      </c>
      <c r="B37" s="1">
        <v>23.436</v>
      </c>
      <c r="C37" s="1">
        <v>7.666666666666667</v>
      </c>
      <c r="D37" s="1">
        <v>4</v>
      </c>
      <c r="E37" s="1">
        <v>56.216666666666661</v>
      </c>
      <c r="F37" s="1">
        <v>4.5999999999999996</v>
      </c>
      <c r="G37" s="1">
        <v>0</v>
      </c>
      <c r="H37" s="1">
        <v>0</v>
      </c>
      <c r="I37" s="1">
        <v>12.6</v>
      </c>
      <c r="J37">
        <v>15</v>
      </c>
      <c r="K37" s="1">
        <f t="shared" si="0"/>
        <v>28.58583333333333</v>
      </c>
      <c r="L37" s="1">
        <v>0</v>
      </c>
      <c r="M37" s="1">
        <f t="shared" si="1"/>
        <v>28.58583333333333</v>
      </c>
      <c r="N37" t="str">
        <f t="shared" si="2"/>
        <v>RP</v>
      </c>
    </row>
    <row r="38" spans="1:14" x14ac:dyDescent="0.3">
      <c r="A38" t="s">
        <v>187</v>
      </c>
      <c r="B38" s="1">
        <v>5.88</v>
      </c>
      <c r="C38" s="1">
        <v>11</v>
      </c>
      <c r="D38" s="1">
        <v>30</v>
      </c>
      <c r="E38" s="1">
        <v>71.194999999999993</v>
      </c>
      <c r="F38" s="1">
        <v>6.6</v>
      </c>
      <c r="G38" s="1">
        <v>14</v>
      </c>
      <c r="H38" s="1">
        <v>25</v>
      </c>
      <c r="I38" s="1">
        <v>69.800000000000011</v>
      </c>
      <c r="J38">
        <v>53</v>
      </c>
      <c r="K38" s="1">
        <f t="shared" si="0"/>
        <v>65.248249999999999</v>
      </c>
      <c r="L38" s="1">
        <v>0</v>
      </c>
      <c r="M38" s="1">
        <f t="shared" si="1"/>
        <v>65.248249999999999</v>
      </c>
      <c r="N38" t="str">
        <f t="shared" si="2"/>
        <v>AP</v>
      </c>
    </row>
    <row r="39" spans="1:14" x14ac:dyDescent="0.3">
      <c r="A39" t="s">
        <v>188</v>
      </c>
      <c r="B39" s="1">
        <v>8.1999999999999993</v>
      </c>
      <c r="C39" s="1">
        <v>8.6666666666666661</v>
      </c>
      <c r="D39" s="1">
        <v>10</v>
      </c>
      <c r="E39" s="1">
        <v>49.800666666666665</v>
      </c>
      <c r="F39" s="1">
        <v>8.8000000000000007</v>
      </c>
      <c r="G39" s="1">
        <v>5.666666666666667</v>
      </c>
      <c r="H39" s="1">
        <v>14</v>
      </c>
      <c r="I39" s="1">
        <v>51.166666666666664</v>
      </c>
      <c r="J39">
        <v>68</v>
      </c>
      <c r="K39" s="1">
        <f t="shared" si="0"/>
        <v>55.738566666666664</v>
      </c>
      <c r="L39" s="1">
        <v>48</v>
      </c>
      <c r="M39" s="1">
        <f t="shared" si="1"/>
        <v>55.738566666666664</v>
      </c>
      <c r="N39" t="str">
        <f t="shared" si="2"/>
        <v>RP</v>
      </c>
    </row>
    <row r="40" spans="1:14" x14ac:dyDescent="0.3">
      <c r="A40" t="s">
        <v>189</v>
      </c>
      <c r="B40" s="1">
        <v>5.4879999999999995</v>
      </c>
      <c r="C40" s="1">
        <v>5.333333333333333</v>
      </c>
      <c r="D40" s="1">
        <v>9</v>
      </c>
      <c r="E40" s="1">
        <v>41.523333333333333</v>
      </c>
      <c r="F40" s="1">
        <v>7.4</v>
      </c>
      <c r="G40" s="1">
        <v>6.666666666666667</v>
      </c>
      <c r="H40" s="1">
        <v>20</v>
      </c>
      <c r="I40" s="1">
        <v>58.566666666666663</v>
      </c>
      <c r="J40">
        <v>43</v>
      </c>
      <c r="K40" s="1">
        <f t="shared" si="0"/>
        <v>47.9315</v>
      </c>
      <c r="L40" s="1">
        <v>0</v>
      </c>
      <c r="M40" s="1">
        <f t="shared" si="1"/>
        <v>47.9315</v>
      </c>
      <c r="N40" t="str">
        <f t="shared" si="2"/>
        <v>RP</v>
      </c>
    </row>
    <row r="41" spans="1:14" x14ac:dyDescent="0.3">
      <c r="A41" t="s">
        <v>190</v>
      </c>
      <c r="B41" s="1">
        <v>7.21</v>
      </c>
      <c r="C41" s="1">
        <v>13.666666666666666</v>
      </c>
      <c r="D41" s="1">
        <v>32</v>
      </c>
      <c r="E41" s="1">
        <v>75.785666666666657</v>
      </c>
      <c r="F41" s="1">
        <v>8.1999999999999993</v>
      </c>
      <c r="G41" s="1">
        <v>11</v>
      </c>
      <c r="H41" s="1">
        <v>36</v>
      </c>
      <c r="I41" s="1">
        <v>73.599999999999994</v>
      </c>
      <c r="J41">
        <v>56</v>
      </c>
      <c r="K41" s="1">
        <f t="shared" si="0"/>
        <v>69.084983333333327</v>
      </c>
      <c r="L41" s="1">
        <v>0</v>
      </c>
      <c r="M41" s="1">
        <f t="shared" si="1"/>
        <v>69.084983333333327</v>
      </c>
      <c r="N41" t="str">
        <f t="shared" si="2"/>
        <v>AP</v>
      </c>
    </row>
    <row r="42" spans="1:14" x14ac:dyDescent="0.3">
      <c r="A42" t="s">
        <v>191</v>
      </c>
      <c r="B42" s="1">
        <v>8.32</v>
      </c>
      <c r="C42" s="1">
        <v>4.333333333333333</v>
      </c>
      <c r="D42" s="1">
        <v>6</v>
      </c>
      <c r="E42" s="1">
        <v>40.697333333333333</v>
      </c>
      <c r="F42" s="1">
        <v>5.4</v>
      </c>
      <c r="G42" s="1">
        <v>9.3333333333333339</v>
      </c>
      <c r="H42" s="1">
        <v>25</v>
      </c>
      <c r="I42" s="1">
        <v>56.733333333333334</v>
      </c>
      <c r="J42">
        <v>38</v>
      </c>
      <c r="K42" s="1">
        <f t="shared" si="0"/>
        <v>45.500733333333329</v>
      </c>
      <c r="L42" s="1">
        <v>71</v>
      </c>
      <c r="M42" s="1">
        <f t="shared" si="1"/>
        <v>56.106666666666662</v>
      </c>
      <c r="N42" t="str">
        <f t="shared" si="2"/>
        <v>RP</v>
      </c>
    </row>
    <row r="43" spans="1:14" x14ac:dyDescent="0.3">
      <c r="A43" t="s">
        <v>192</v>
      </c>
      <c r="B43" s="1">
        <v>6.9760000000000009</v>
      </c>
      <c r="C43" s="1">
        <v>8.6666666666666661</v>
      </c>
      <c r="D43" s="1">
        <v>11</v>
      </c>
      <c r="E43" s="1">
        <v>51.739666666666665</v>
      </c>
      <c r="F43" s="1">
        <v>9</v>
      </c>
      <c r="G43" s="1">
        <v>10.333333333333334</v>
      </c>
      <c r="H43" s="1">
        <v>17</v>
      </c>
      <c r="I43" s="1">
        <v>60.833333333333336</v>
      </c>
      <c r="J43">
        <v>58</v>
      </c>
      <c r="K43" s="1">
        <f t="shared" si="0"/>
        <v>56.800550000000001</v>
      </c>
      <c r="L43" s="1">
        <v>58</v>
      </c>
      <c r="M43" s="1">
        <f t="shared" si="1"/>
        <v>58.991666666666667</v>
      </c>
      <c r="N43" t="str">
        <f t="shared" si="2"/>
        <v>RP</v>
      </c>
    </row>
    <row r="44" spans="1:14" x14ac:dyDescent="0.3">
      <c r="A44" t="s">
        <v>193</v>
      </c>
      <c r="B44" s="1">
        <v>6.8679999999999994</v>
      </c>
      <c r="C44" s="1">
        <v>4.666666666666667</v>
      </c>
      <c r="D44" s="1">
        <v>3</v>
      </c>
      <c r="E44" s="1">
        <v>32.060666666666663</v>
      </c>
      <c r="F44" s="1">
        <v>7.2</v>
      </c>
      <c r="G44" s="1">
        <v>1</v>
      </c>
      <c r="H44" s="1">
        <v>4</v>
      </c>
      <c r="I44" s="1">
        <v>30.099999999999998</v>
      </c>
      <c r="J44">
        <v>24</v>
      </c>
      <c r="K44" s="1">
        <f t="shared" si="0"/>
        <v>28.956233333333326</v>
      </c>
      <c r="L44" s="1">
        <v>0</v>
      </c>
      <c r="M44" s="1">
        <f t="shared" si="1"/>
        <v>28.956233333333326</v>
      </c>
      <c r="N44" t="str">
        <f t="shared" si="2"/>
        <v>RP</v>
      </c>
    </row>
    <row r="45" spans="1:14" x14ac:dyDescent="0.3">
      <c r="A45" t="s">
        <v>194</v>
      </c>
      <c r="B45" s="1">
        <v>3.6</v>
      </c>
      <c r="C45" s="1">
        <v>6.333333333333333</v>
      </c>
      <c r="D45" s="1">
        <v>14</v>
      </c>
      <c r="E45" s="1">
        <v>40.499333333333333</v>
      </c>
      <c r="F45" s="1">
        <v>8.8000000000000007</v>
      </c>
      <c r="G45" s="1">
        <v>16.666666666666668</v>
      </c>
      <c r="H45" s="1">
        <v>28</v>
      </c>
      <c r="I45" s="1">
        <v>76.466666666666669</v>
      </c>
      <c r="J45">
        <v>51</v>
      </c>
      <c r="K45" s="1">
        <f t="shared" si="0"/>
        <v>56.238099999999996</v>
      </c>
      <c r="L45" s="1">
        <v>60</v>
      </c>
      <c r="M45" s="1">
        <f t="shared" si="1"/>
        <v>63.063333333333325</v>
      </c>
      <c r="N45" t="str">
        <f t="shared" si="2"/>
        <v>AP</v>
      </c>
    </row>
    <row r="46" spans="1:14" x14ac:dyDescent="0.3">
      <c r="A46" t="s">
        <v>195</v>
      </c>
      <c r="B46" s="1">
        <v>8.2319999999999993</v>
      </c>
      <c r="C46" s="1">
        <v>9.6666666666666661</v>
      </c>
      <c r="D46" s="1">
        <v>25</v>
      </c>
      <c r="E46" s="1">
        <v>65.090666666666664</v>
      </c>
      <c r="F46" s="1">
        <v>8</v>
      </c>
      <c r="G46" s="1">
        <v>6.5</v>
      </c>
      <c r="H46" s="1">
        <v>24</v>
      </c>
      <c r="I46" s="1">
        <v>59.400000000000006</v>
      </c>
      <c r="J46">
        <v>81</v>
      </c>
      <c r="K46" s="1">
        <f t="shared" si="0"/>
        <v>67.871733333333339</v>
      </c>
      <c r="L46" s="1">
        <v>0</v>
      </c>
      <c r="M46" s="1">
        <f t="shared" si="1"/>
        <v>67.871733333333339</v>
      </c>
      <c r="N46" t="str">
        <f t="shared" si="2"/>
        <v>AP</v>
      </c>
    </row>
    <row r="47" spans="1:14" x14ac:dyDescent="0.3">
      <c r="A47" t="s">
        <v>196</v>
      </c>
      <c r="B47" s="1">
        <v>25.088000000000001</v>
      </c>
      <c r="C47" s="1">
        <v>2.6666666666666665</v>
      </c>
      <c r="D47" s="1">
        <v>13</v>
      </c>
      <c r="E47" s="1">
        <v>64.416666666666657</v>
      </c>
      <c r="F47" s="1">
        <v>7.8</v>
      </c>
      <c r="G47" s="1">
        <v>4.333333333333333</v>
      </c>
      <c r="H47" s="1">
        <v>11</v>
      </c>
      <c r="I47" s="1">
        <v>44.533333333333331</v>
      </c>
      <c r="J47">
        <v>47</v>
      </c>
      <c r="K47" s="1">
        <f t="shared" si="0"/>
        <v>52.232499999999995</v>
      </c>
      <c r="L47" s="1">
        <v>0</v>
      </c>
      <c r="M47" s="1">
        <f t="shared" si="1"/>
        <v>52.232499999999995</v>
      </c>
      <c r="N47" t="str">
        <f t="shared" si="2"/>
        <v>RP</v>
      </c>
    </row>
    <row r="48" spans="1:14" x14ac:dyDescent="0.3">
      <c r="A48" t="s">
        <v>197</v>
      </c>
      <c r="B48" s="1">
        <v>7.7899999999999991</v>
      </c>
      <c r="C48" s="1">
        <v>7.666666666666667</v>
      </c>
      <c r="D48" s="1">
        <v>12</v>
      </c>
      <c r="E48" s="1">
        <v>50.176666666666662</v>
      </c>
      <c r="F48" s="1">
        <v>7.2</v>
      </c>
      <c r="G48" s="1">
        <v>11.666666666666666</v>
      </c>
      <c r="H48" s="1">
        <v>23</v>
      </c>
      <c r="I48" s="1">
        <v>66.766666666666652</v>
      </c>
      <c r="J48">
        <v>34</v>
      </c>
      <c r="K48" s="1">
        <f t="shared" si="0"/>
        <v>51.130166666666653</v>
      </c>
      <c r="L48" s="1">
        <v>45</v>
      </c>
      <c r="M48" s="1">
        <f t="shared" si="1"/>
        <v>51.130166666666668</v>
      </c>
      <c r="N48" t="str">
        <f t="shared" si="2"/>
        <v>RP</v>
      </c>
    </row>
    <row r="49" spans="1:14" x14ac:dyDescent="0.3">
      <c r="A49" t="s">
        <v>198</v>
      </c>
      <c r="B49" s="1">
        <v>5.992</v>
      </c>
      <c r="C49" s="1">
        <v>5</v>
      </c>
      <c r="D49" s="1">
        <v>13</v>
      </c>
      <c r="E49" s="1">
        <v>48.513999999999996</v>
      </c>
      <c r="F49" s="1">
        <v>9</v>
      </c>
      <c r="G49" s="1">
        <v>5</v>
      </c>
      <c r="H49" s="1">
        <v>11</v>
      </c>
      <c r="I49" s="1">
        <v>44.599999999999994</v>
      </c>
      <c r="J49">
        <v>44</v>
      </c>
      <c r="K49" s="1">
        <f t="shared" si="0"/>
        <v>45.789899999999989</v>
      </c>
      <c r="L49" s="1">
        <v>38</v>
      </c>
      <c r="M49" s="1">
        <f t="shared" si="1"/>
        <v>45.789899999999989</v>
      </c>
      <c r="N49" t="str">
        <f t="shared" si="2"/>
        <v>RP</v>
      </c>
    </row>
    <row r="50" spans="1:14" x14ac:dyDescent="0.3">
      <c r="A50" t="s">
        <v>199</v>
      </c>
      <c r="B50" s="1">
        <v>5.0960000000000001</v>
      </c>
      <c r="C50" s="1">
        <v>5.666666666666667</v>
      </c>
      <c r="D50" s="1">
        <v>18</v>
      </c>
      <c r="E50" s="1">
        <v>51.730666666666664</v>
      </c>
      <c r="F50" s="1">
        <v>8.1999999999999993</v>
      </c>
      <c r="G50" s="1">
        <v>3.6666666666666665</v>
      </c>
      <c r="H50" s="1">
        <v>12</v>
      </c>
      <c r="I50" s="1">
        <v>46.466666666666661</v>
      </c>
      <c r="J50">
        <v>54</v>
      </c>
      <c r="K50" s="1">
        <f t="shared" si="0"/>
        <v>50.569066666666657</v>
      </c>
      <c r="L50" s="1">
        <v>0</v>
      </c>
      <c r="M50" s="1">
        <f t="shared" si="1"/>
        <v>50.569066666666657</v>
      </c>
      <c r="N50" t="str">
        <f t="shared" si="2"/>
        <v>RP</v>
      </c>
    </row>
    <row r="51" spans="1:14" x14ac:dyDescent="0.3">
      <c r="A51" t="s">
        <v>200</v>
      </c>
      <c r="B51" s="1">
        <v>9.0640000000000018</v>
      </c>
      <c r="C51" s="1">
        <v>13.666666666666666</v>
      </c>
      <c r="D51" s="1">
        <v>18</v>
      </c>
      <c r="E51" s="1">
        <v>63.902666666666661</v>
      </c>
      <c r="F51" s="1">
        <v>9.4</v>
      </c>
      <c r="G51" s="1">
        <v>12.666666666666666</v>
      </c>
      <c r="H51" s="1">
        <v>37</v>
      </c>
      <c r="I51" s="1">
        <v>83.466666666666669</v>
      </c>
      <c r="J51">
        <v>77</v>
      </c>
      <c r="K51" s="1">
        <f t="shared" si="0"/>
        <v>74.679266666666649</v>
      </c>
      <c r="L51" s="1">
        <v>66</v>
      </c>
      <c r="M51" s="1">
        <f t="shared" si="1"/>
        <v>75.413333333333313</v>
      </c>
      <c r="N51" t="str">
        <f t="shared" si="2"/>
        <v>AP</v>
      </c>
    </row>
    <row r="52" spans="1:14" x14ac:dyDescent="0.3">
      <c r="B52" s="1"/>
      <c r="C52" s="1"/>
      <c r="D52" s="1"/>
      <c r="E52" s="1"/>
      <c r="F52" s="1"/>
      <c r="G52" s="1"/>
      <c r="H52" s="1"/>
      <c r="I52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A384-9885-48EF-9409-BDD8E2A0903E}">
  <dimension ref="A1:N52"/>
  <sheetViews>
    <sheetView topLeftCell="A21" zoomScale="79" workbookViewId="0">
      <selection activeCell="N50" sqref="N50"/>
    </sheetView>
  </sheetViews>
  <sheetFormatPr defaultRowHeight="14.4" x14ac:dyDescent="0.3"/>
  <cols>
    <col min="3" max="3" width="10.44140625" bestFit="1" customWidth="1"/>
  </cols>
  <sheetData>
    <row r="1" spans="1:14" ht="43.2" x14ac:dyDescent="0.3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297</v>
      </c>
      <c r="L1" s="2" t="s">
        <v>298</v>
      </c>
      <c r="M1" s="2" t="s">
        <v>299</v>
      </c>
      <c r="N1" s="2" t="s">
        <v>300</v>
      </c>
    </row>
    <row r="2" spans="1:14" x14ac:dyDescent="0.3">
      <c r="A2" t="s">
        <v>201</v>
      </c>
      <c r="B2" s="1">
        <v>9.0286094976000015</v>
      </c>
      <c r="C2" s="1">
        <v>12.666666666666666</v>
      </c>
      <c r="D2" s="1">
        <v>29</v>
      </c>
      <c r="E2" s="1">
        <v>73.000842365866674</v>
      </c>
      <c r="F2" s="1">
        <v>9.5964491775000003</v>
      </c>
      <c r="G2" s="1">
        <v>15.333333333333334</v>
      </c>
      <c r="H2" s="1">
        <v>25</v>
      </c>
      <c r="I2" s="1">
        <v>74.653643559833341</v>
      </c>
      <c r="J2">
        <v>83</v>
      </c>
      <c r="K2" s="1">
        <f>(0.3*J2)+((E2+I2)*0.35)</f>
        <v>76.579070073994998</v>
      </c>
      <c r="L2" s="1">
        <v>57</v>
      </c>
      <c r="M2" s="1">
        <f>(0.7*(SUM(E2,I2,L2)-MIN(E2,I2,L2))/2)+(0.3*J2)</f>
        <v>76.579070073994998</v>
      </c>
      <c r="N2" t="str">
        <f>IF(M2&gt;59.5,"AP","RP")</f>
        <v>AP</v>
      </c>
    </row>
    <row r="3" spans="1:14" x14ac:dyDescent="0.3">
      <c r="A3" t="s">
        <v>202</v>
      </c>
      <c r="B3" s="1">
        <v>4.25</v>
      </c>
      <c r="C3" s="1">
        <v>12.666666666666666</v>
      </c>
      <c r="D3" s="1">
        <v>23</v>
      </c>
      <c r="E3" s="1">
        <v>54.491666666666667</v>
      </c>
      <c r="F3" s="1">
        <v>8.9169880639999981</v>
      </c>
      <c r="G3" s="1">
        <v>13</v>
      </c>
      <c r="H3" s="1">
        <v>24</v>
      </c>
      <c r="I3" s="1">
        <v>70.949879775999989</v>
      </c>
      <c r="J3">
        <v>65</v>
      </c>
      <c r="K3" s="1">
        <f t="shared" ref="K3:K49" si="0">(0.3*J3)+((E3+I3)*0.35)</f>
        <v>63.404541254933328</v>
      </c>
      <c r="L3" s="1">
        <v>49</v>
      </c>
      <c r="M3" s="1">
        <f t="shared" ref="M3:M49" si="1">(0.7*(SUM(E3,I3,L3)-MIN(E3,I3,L3))/2)+(0.3*J3)</f>
        <v>63.404541254933328</v>
      </c>
      <c r="N3" t="str">
        <f t="shared" ref="N3:N49" si="2">IF(M3&gt;59.5,"AP","RP")</f>
        <v>AP</v>
      </c>
    </row>
    <row r="4" spans="1:14" x14ac:dyDescent="0.3">
      <c r="A4" t="s">
        <v>203</v>
      </c>
      <c r="B4" s="1">
        <v>9.0759507120000009</v>
      </c>
      <c r="C4" s="1">
        <v>12.333333333333334</v>
      </c>
      <c r="D4" s="1">
        <v>19</v>
      </c>
      <c r="E4" s="1">
        <v>62.847893209333336</v>
      </c>
      <c r="F4" s="1">
        <v>8.8000000000000007</v>
      </c>
      <c r="G4" s="1">
        <v>13</v>
      </c>
      <c r="H4" s="1">
        <v>20</v>
      </c>
      <c r="I4" s="1">
        <v>67.5</v>
      </c>
      <c r="J4">
        <v>53</v>
      </c>
      <c r="K4" s="1">
        <f t="shared" si="0"/>
        <v>61.52176262326666</v>
      </c>
      <c r="L4" s="1">
        <v>0</v>
      </c>
      <c r="M4" s="1">
        <f t="shared" si="1"/>
        <v>61.52176262326666</v>
      </c>
      <c r="N4" t="str">
        <f t="shared" si="2"/>
        <v>AP</v>
      </c>
    </row>
    <row r="5" spans="1:14" x14ac:dyDescent="0.3">
      <c r="A5" t="s">
        <v>204</v>
      </c>
      <c r="B5" s="1">
        <v>9.3364030032000009</v>
      </c>
      <c r="C5" s="1">
        <v>8</v>
      </c>
      <c r="D5" s="1">
        <v>22</v>
      </c>
      <c r="E5" s="1">
        <v>61.438393017600006</v>
      </c>
      <c r="F5" s="1">
        <v>10.0005101955</v>
      </c>
      <c r="G5" s="1">
        <v>13.333333333333334</v>
      </c>
      <c r="H5" s="1">
        <v>15</v>
      </c>
      <c r="I5" s="1">
        <v>62.543998642083338</v>
      </c>
      <c r="J5">
        <v>78</v>
      </c>
      <c r="K5" s="1">
        <f t="shared" si="0"/>
        <v>66.793837080889176</v>
      </c>
      <c r="L5" s="1">
        <v>0</v>
      </c>
      <c r="M5" s="1">
        <f t="shared" si="1"/>
        <v>66.793837080889176</v>
      </c>
      <c r="N5" t="str">
        <f t="shared" si="2"/>
        <v>AP</v>
      </c>
    </row>
    <row r="6" spans="1:14" x14ac:dyDescent="0.3">
      <c r="A6" t="s">
        <v>205</v>
      </c>
      <c r="B6" s="1">
        <v>2.9</v>
      </c>
      <c r="C6" s="1">
        <v>2</v>
      </c>
      <c r="D6" s="1">
        <v>0</v>
      </c>
      <c r="E6" s="1">
        <v>12.167</v>
      </c>
      <c r="F6" s="1">
        <v>0.5</v>
      </c>
      <c r="G6" s="1">
        <v>0</v>
      </c>
      <c r="H6" s="1">
        <v>0</v>
      </c>
      <c r="I6" s="1">
        <v>1.625</v>
      </c>
      <c r="J6">
        <v>15</v>
      </c>
      <c r="K6" s="1">
        <f t="shared" si="0"/>
        <v>9.3271999999999995</v>
      </c>
      <c r="L6" s="1">
        <v>0</v>
      </c>
      <c r="M6" s="1">
        <f t="shared" si="1"/>
        <v>9.3271999999999995</v>
      </c>
      <c r="N6" t="str">
        <f t="shared" si="2"/>
        <v>RP</v>
      </c>
    </row>
    <row r="7" spans="1:14" x14ac:dyDescent="0.3">
      <c r="A7" t="s">
        <v>206</v>
      </c>
      <c r="B7" s="1">
        <v>10.220271696799999</v>
      </c>
      <c r="C7" s="1">
        <v>8</v>
      </c>
      <c r="D7" s="1">
        <v>10</v>
      </c>
      <c r="E7" s="1">
        <v>52.446332415599997</v>
      </c>
      <c r="F7" s="1">
        <v>9.6999999999999993</v>
      </c>
      <c r="G7" s="1">
        <v>13</v>
      </c>
      <c r="H7" s="1">
        <v>26</v>
      </c>
      <c r="I7" s="1">
        <v>72.95</v>
      </c>
      <c r="J7">
        <v>50</v>
      </c>
      <c r="K7" s="1">
        <f t="shared" si="0"/>
        <v>58.888716345459997</v>
      </c>
      <c r="L7" s="1">
        <v>50</v>
      </c>
      <c r="M7" s="1">
        <f t="shared" si="1"/>
        <v>58.888716345459997</v>
      </c>
      <c r="N7" t="str">
        <f t="shared" si="2"/>
        <v>RP</v>
      </c>
    </row>
    <row r="8" spans="1:14" x14ac:dyDescent="0.3">
      <c r="A8" t="s">
        <v>207</v>
      </c>
      <c r="B8" s="1">
        <v>8.0828489255000004</v>
      </c>
      <c r="C8" s="1">
        <v>13.333333333333334</v>
      </c>
      <c r="D8" s="1">
        <v>18</v>
      </c>
      <c r="E8" s="1">
        <v>60.801801393333335</v>
      </c>
      <c r="F8" s="1">
        <v>9.5576997297999995</v>
      </c>
      <c r="G8" s="1">
        <v>10.333333333333334</v>
      </c>
      <c r="H8" s="1">
        <v>22</v>
      </c>
      <c r="I8" s="1">
        <v>65.428930613533339</v>
      </c>
      <c r="J8">
        <v>56</v>
      </c>
      <c r="K8" s="1">
        <f t="shared" si="0"/>
        <v>60.980756202403327</v>
      </c>
      <c r="L8" s="1">
        <v>0</v>
      </c>
      <c r="M8" s="1">
        <f t="shared" si="1"/>
        <v>60.980756202403327</v>
      </c>
      <c r="N8" t="str">
        <f t="shared" si="2"/>
        <v>AP</v>
      </c>
    </row>
    <row r="9" spans="1:14" x14ac:dyDescent="0.3">
      <c r="A9" t="s">
        <v>208</v>
      </c>
      <c r="B9" s="1">
        <v>10.195731516600002</v>
      </c>
      <c r="C9" s="1">
        <v>7.666666666666667</v>
      </c>
      <c r="D9" s="1">
        <v>12</v>
      </c>
      <c r="E9" s="1">
        <v>52.06652538656666</v>
      </c>
      <c r="F9" s="1">
        <v>9.8000000000000007</v>
      </c>
      <c r="G9" s="1">
        <v>7</v>
      </c>
      <c r="H9" s="1">
        <v>13</v>
      </c>
      <c r="I9" s="1">
        <v>52.5</v>
      </c>
      <c r="J9">
        <v>62</v>
      </c>
      <c r="K9" s="1">
        <f t="shared" si="0"/>
        <v>55.198283885298324</v>
      </c>
      <c r="L9" s="1">
        <v>0</v>
      </c>
      <c r="M9" s="1">
        <f t="shared" si="1"/>
        <v>55.198283885298324</v>
      </c>
      <c r="N9" t="str">
        <f t="shared" si="2"/>
        <v>RP</v>
      </c>
    </row>
    <row r="10" spans="1:14" x14ac:dyDescent="0.3">
      <c r="A10" t="s">
        <v>209</v>
      </c>
      <c r="B10" s="1">
        <v>9.0759507120000009</v>
      </c>
      <c r="C10" s="1">
        <v>14</v>
      </c>
      <c r="D10" s="1">
        <v>21</v>
      </c>
      <c r="E10" s="1">
        <v>67.723842740799995</v>
      </c>
      <c r="F10" s="1">
        <v>9.6999999999999993</v>
      </c>
      <c r="G10" s="1">
        <v>13.666666666666666</v>
      </c>
      <c r="H10" s="1">
        <v>18</v>
      </c>
      <c r="I10" s="1">
        <v>67.316666666666663</v>
      </c>
      <c r="J10">
        <v>50</v>
      </c>
      <c r="K10" s="1">
        <f t="shared" si="0"/>
        <v>62.26417829261333</v>
      </c>
      <c r="L10" s="1">
        <v>0</v>
      </c>
      <c r="M10" s="1">
        <f t="shared" si="1"/>
        <v>62.26417829261333</v>
      </c>
      <c r="N10" t="str">
        <f t="shared" si="2"/>
        <v>AP</v>
      </c>
    </row>
    <row r="11" spans="1:14" x14ac:dyDescent="0.3">
      <c r="A11" t="s">
        <v>210</v>
      </c>
      <c r="B11" s="1">
        <v>8.7773348567999978</v>
      </c>
      <c r="C11" s="1">
        <v>12.333333333333334</v>
      </c>
      <c r="D11" s="1">
        <v>25</v>
      </c>
      <c r="E11" s="1">
        <v>69.209336800533322</v>
      </c>
      <c r="F11" s="1">
        <v>9.6160401120000003</v>
      </c>
      <c r="G11" s="1">
        <v>13.333333333333334</v>
      </c>
      <c r="H11" s="1">
        <v>24</v>
      </c>
      <c r="I11" s="1">
        <v>70.669757754333347</v>
      </c>
      <c r="J11">
        <v>59</v>
      </c>
      <c r="K11" s="1">
        <f t="shared" si="0"/>
        <v>66.657683094203335</v>
      </c>
      <c r="L11" s="1">
        <v>0</v>
      </c>
      <c r="M11" s="1">
        <f t="shared" si="1"/>
        <v>66.657683094203335</v>
      </c>
      <c r="N11" t="str">
        <f t="shared" si="2"/>
        <v>AP</v>
      </c>
    </row>
    <row r="12" spans="1:14" x14ac:dyDescent="0.3">
      <c r="A12" t="s">
        <v>211</v>
      </c>
      <c r="B12" s="1">
        <v>8.0112730879000011</v>
      </c>
      <c r="C12" s="1">
        <v>8</v>
      </c>
      <c r="D12" s="1">
        <v>18</v>
      </c>
      <c r="E12" s="1">
        <v>54.202125097900002</v>
      </c>
      <c r="F12" s="1">
        <v>9.0077660735999991</v>
      </c>
      <c r="G12" s="1">
        <v>14.666666666666666</v>
      </c>
      <c r="H12" s="1">
        <v>20</v>
      </c>
      <c r="I12" s="1">
        <v>68.302871834666661</v>
      </c>
      <c r="J12">
        <v>60</v>
      </c>
      <c r="K12" s="1">
        <f t="shared" si="0"/>
        <v>60.876748926398328</v>
      </c>
      <c r="L12" s="1">
        <v>0</v>
      </c>
      <c r="M12" s="1">
        <f t="shared" si="1"/>
        <v>60.876748926398328</v>
      </c>
      <c r="N12" t="str">
        <f t="shared" si="2"/>
        <v>AP</v>
      </c>
    </row>
    <row r="13" spans="1:14" x14ac:dyDescent="0.3">
      <c r="A13" t="s">
        <v>212</v>
      </c>
      <c r="B13" s="1">
        <v>9.8149545729999996</v>
      </c>
      <c r="C13" s="1">
        <v>9.3333333333333339</v>
      </c>
      <c r="D13" s="1">
        <v>13</v>
      </c>
      <c r="E13" s="1">
        <v>53.822643555333336</v>
      </c>
      <c r="F13" s="1">
        <v>9.1008434880000006</v>
      </c>
      <c r="G13" s="1">
        <v>19</v>
      </c>
      <c r="H13" s="1">
        <v>25</v>
      </c>
      <c r="I13" s="1">
        <v>77.783735199999995</v>
      </c>
      <c r="J13">
        <v>48</v>
      </c>
      <c r="K13" s="1">
        <f t="shared" si="0"/>
        <v>60.462232564366666</v>
      </c>
      <c r="L13" s="1">
        <v>0</v>
      </c>
      <c r="M13" s="1">
        <f t="shared" si="1"/>
        <v>60.462232564366666</v>
      </c>
      <c r="N13" t="str">
        <f t="shared" si="2"/>
        <v>AP</v>
      </c>
    </row>
    <row r="14" spans="1:14" x14ac:dyDescent="0.3">
      <c r="A14" t="s">
        <v>213</v>
      </c>
      <c r="B14" s="1">
        <v>2.7</v>
      </c>
      <c r="C14" s="1">
        <v>0</v>
      </c>
      <c r="D14" s="1">
        <v>0</v>
      </c>
      <c r="E14" s="1">
        <v>6.1000000000000005</v>
      </c>
      <c r="F14" s="1">
        <v>0.5</v>
      </c>
      <c r="G14" s="1">
        <v>0</v>
      </c>
      <c r="H14" s="1">
        <v>0</v>
      </c>
      <c r="I14" s="1">
        <v>1</v>
      </c>
      <c r="J14">
        <v>0</v>
      </c>
      <c r="K14" s="1">
        <f t="shared" si="0"/>
        <v>2.4849999999999999</v>
      </c>
      <c r="L14" s="1">
        <v>0</v>
      </c>
      <c r="M14" s="1">
        <f t="shared" si="1"/>
        <v>2.4849999999999999</v>
      </c>
      <c r="N14" t="str">
        <f t="shared" si="2"/>
        <v>RP</v>
      </c>
    </row>
    <row r="15" spans="1:14" x14ac:dyDescent="0.3">
      <c r="A15" t="s">
        <v>214</v>
      </c>
      <c r="B15" s="1">
        <v>8.8742629184000013</v>
      </c>
      <c r="C15" s="1">
        <v>11</v>
      </c>
      <c r="D15" s="1">
        <v>20</v>
      </c>
      <c r="E15" s="1">
        <v>62.012028185600002</v>
      </c>
      <c r="F15" s="1">
        <v>8.6999999999999993</v>
      </c>
      <c r="G15" s="1">
        <v>13</v>
      </c>
      <c r="H15" s="1">
        <v>18</v>
      </c>
      <c r="I15" s="1">
        <v>65.575000000000003</v>
      </c>
      <c r="J15">
        <v>51</v>
      </c>
      <c r="K15" s="1">
        <f t="shared" si="0"/>
        <v>59.955459864959998</v>
      </c>
      <c r="L15" s="1">
        <v>0</v>
      </c>
      <c r="M15" s="1">
        <f t="shared" si="1"/>
        <v>59.955459864959998</v>
      </c>
      <c r="N15" t="str">
        <f t="shared" si="2"/>
        <v>AP</v>
      </c>
    </row>
    <row r="16" spans="1:14" x14ac:dyDescent="0.3">
      <c r="A16" t="s">
        <v>215</v>
      </c>
      <c r="B16" s="1">
        <v>5.9308025259999999</v>
      </c>
      <c r="C16" s="1">
        <v>5.333333333333333</v>
      </c>
      <c r="D16" s="1">
        <v>22</v>
      </c>
      <c r="E16" s="1">
        <v>48.179921581333332</v>
      </c>
      <c r="F16" s="1">
        <v>4</v>
      </c>
      <c r="G16" s="1">
        <v>5.333333333333333</v>
      </c>
      <c r="H16" s="1">
        <v>0</v>
      </c>
      <c r="I16" s="1">
        <v>24.083333333333332</v>
      </c>
      <c r="J16">
        <v>29</v>
      </c>
      <c r="K16" s="1">
        <f t="shared" si="0"/>
        <v>33.992139220133325</v>
      </c>
      <c r="L16" s="1">
        <v>0</v>
      </c>
      <c r="M16" s="1">
        <f t="shared" si="1"/>
        <v>33.992139220133325</v>
      </c>
      <c r="N16" t="str">
        <f t="shared" si="2"/>
        <v>RP</v>
      </c>
    </row>
    <row r="17" spans="1:14" x14ac:dyDescent="0.3">
      <c r="A17" t="s">
        <v>216</v>
      </c>
      <c r="B17" s="1">
        <v>8.7861119255000002</v>
      </c>
      <c r="C17" s="1">
        <v>8.3333333333333339</v>
      </c>
      <c r="D17" s="1">
        <v>12</v>
      </c>
      <c r="E17" s="1">
        <v>50.964165350333339</v>
      </c>
      <c r="F17" s="1">
        <v>7.8</v>
      </c>
      <c r="G17" s="1">
        <v>0.66666666666666663</v>
      </c>
      <c r="H17" s="1">
        <v>0</v>
      </c>
      <c r="I17" s="1">
        <v>32.966666666666661</v>
      </c>
      <c r="J17">
        <v>51</v>
      </c>
      <c r="K17" s="1">
        <f t="shared" si="0"/>
        <v>44.675791205949999</v>
      </c>
      <c r="L17" s="1">
        <v>37</v>
      </c>
      <c r="M17" s="1">
        <f t="shared" si="1"/>
        <v>46.08745787261666</v>
      </c>
      <c r="N17" t="str">
        <f t="shared" si="2"/>
        <v>RP</v>
      </c>
    </row>
    <row r="18" spans="1:14" x14ac:dyDescent="0.3">
      <c r="A18" t="s">
        <v>217</v>
      </c>
      <c r="B18" s="1">
        <v>9.0066641963999992</v>
      </c>
      <c r="C18" s="1">
        <v>13.333333333333334</v>
      </c>
      <c r="D18" s="1">
        <v>25</v>
      </c>
      <c r="E18" s="1">
        <v>70.329823232533329</v>
      </c>
      <c r="F18" s="1">
        <v>11.005760339999998</v>
      </c>
      <c r="G18" s="1">
        <v>16</v>
      </c>
      <c r="H18" s="1">
        <v>20</v>
      </c>
      <c r="I18" s="1">
        <v>73.857787954799988</v>
      </c>
      <c r="J18">
        <v>62</v>
      </c>
      <c r="K18" s="1">
        <f t="shared" si="0"/>
        <v>69.06566391556666</v>
      </c>
      <c r="L18" s="1">
        <v>0</v>
      </c>
      <c r="M18" s="1">
        <f t="shared" si="1"/>
        <v>69.06566391556666</v>
      </c>
      <c r="N18" t="str">
        <f t="shared" si="2"/>
        <v>AP</v>
      </c>
    </row>
    <row r="19" spans="1:14" x14ac:dyDescent="0.3">
      <c r="A19" t="s">
        <v>218</v>
      </c>
      <c r="B19" s="1">
        <v>8.6353255648000005</v>
      </c>
      <c r="C19" s="1">
        <v>16.666666666666668</v>
      </c>
      <c r="D19" s="1">
        <v>32</v>
      </c>
      <c r="E19" s="1">
        <v>80.637669767466662</v>
      </c>
      <c r="F19" s="1">
        <v>9.664647196799999</v>
      </c>
      <c r="G19" s="1">
        <v>19</v>
      </c>
      <c r="H19" s="1">
        <v>27</v>
      </c>
      <c r="I19" s="1">
        <v>79.846803009399991</v>
      </c>
      <c r="J19">
        <v>60</v>
      </c>
      <c r="K19" s="1">
        <f t="shared" si="0"/>
        <v>74.169565471903326</v>
      </c>
      <c r="L19" s="1">
        <v>0</v>
      </c>
      <c r="M19" s="1">
        <f t="shared" si="1"/>
        <v>74.169565471903326</v>
      </c>
      <c r="N19" t="str">
        <f t="shared" si="2"/>
        <v>AP</v>
      </c>
    </row>
    <row r="20" spans="1:14" x14ac:dyDescent="0.3">
      <c r="A20" t="s">
        <v>219</v>
      </c>
      <c r="B20" s="1">
        <v>4.5999999999999996</v>
      </c>
      <c r="C20" s="1">
        <v>8.3333333333333339</v>
      </c>
      <c r="D20" s="1">
        <v>0</v>
      </c>
      <c r="E20" s="1">
        <v>25.983333333333334</v>
      </c>
      <c r="F20" s="1">
        <v>1.5</v>
      </c>
      <c r="G20" s="1">
        <v>0</v>
      </c>
      <c r="H20" s="1">
        <v>0</v>
      </c>
      <c r="I20" s="1">
        <v>6.4249999999999998</v>
      </c>
      <c r="J20">
        <v>12</v>
      </c>
      <c r="K20" s="1">
        <f t="shared" si="0"/>
        <v>14.942916666666665</v>
      </c>
      <c r="L20" s="1">
        <v>0</v>
      </c>
      <c r="M20" s="1">
        <f t="shared" si="1"/>
        <v>14.942916666666665</v>
      </c>
      <c r="N20" t="str">
        <f t="shared" si="2"/>
        <v>RP</v>
      </c>
    </row>
    <row r="21" spans="1:14" x14ac:dyDescent="0.3">
      <c r="A21" t="s">
        <v>220</v>
      </c>
      <c r="B21" s="1">
        <v>8.3701597644000003</v>
      </c>
      <c r="C21" s="1">
        <v>13</v>
      </c>
      <c r="D21" s="1">
        <v>23</v>
      </c>
      <c r="E21" s="1">
        <v>65.132148988099999</v>
      </c>
      <c r="F21" s="1">
        <v>8.7407953712000008</v>
      </c>
      <c r="G21" s="1">
        <v>14.333333333333334</v>
      </c>
      <c r="H21" s="1">
        <v>22</v>
      </c>
      <c r="I21" s="1">
        <v>68.110642141333329</v>
      </c>
      <c r="J21">
        <v>68</v>
      </c>
      <c r="K21" s="1">
        <f t="shared" si="0"/>
        <v>67.034976895301668</v>
      </c>
      <c r="L21" s="1">
        <v>0</v>
      </c>
      <c r="M21" s="1">
        <f t="shared" si="1"/>
        <v>67.034976895301668</v>
      </c>
      <c r="N21" t="str">
        <f t="shared" si="2"/>
        <v>AP</v>
      </c>
    </row>
    <row r="22" spans="1:14" x14ac:dyDescent="0.3">
      <c r="A22" t="s">
        <v>221</v>
      </c>
      <c r="B22" s="1">
        <v>6.8113617460000002</v>
      </c>
      <c r="C22" s="1">
        <v>13.333333333333334</v>
      </c>
      <c r="D22" s="1">
        <v>30</v>
      </c>
      <c r="E22" s="1">
        <v>73.063909796833343</v>
      </c>
      <c r="F22" s="1">
        <v>8.6751105939999995</v>
      </c>
      <c r="G22" s="1">
        <v>17</v>
      </c>
      <c r="H22" s="1">
        <v>21</v>
      </c>
      <c r="I22" s="1">
        <v>72.636903106000005</v>
      </c>
      <c r="J22">
        <v>74</v>
      </c>
      <c r="K22" s="1">
        <f t="shared" si="0"/>
        <v>73.195284515991673</v>
      </c>
      <c r="L22" s="1">
        <v>0</v>
      </c>
      <c r="M22" s="1">
        <f t="shared" si="1"/>
        <v>73.195284515991673</v>
      </c>
      <c r="N22" t="str">
        <f t="shared" si="2"/>
        <v>AP</v>
      </c>
    </row>
    <row r="23" spans="1:14" x14ac:dyDescent="0.3">
      <c r="A23" t="s">
        <v>222</v>
      </c>
      <c r="B23" s="1">
        <v>9.580170196000001</v>
      </c>
      <c r="C23" s="1">
        <v>14.666666666666666</v>
      </c>
      <c r="D23" s="1">
        <v>21</v>
      </c>
      <c r="E23" s="1">
        <v>68.844728891466673</v>
      </c>
      <c r="F23" s="1">
        <v>8.8000000000000007</v>
      </c>
      <c r="G23" s="1">
        <v>12.333333333333334</v>
      </c>
      <c r="H23" s="1">
        <v>23</v>
      </c>
      <c r="I23" s="1">
        <v>70.908333333333331</v>
      </c>
      <c r="J23">
        <v>52</v>
      </c>
      <c r="K23" s="1">
        <f t="shared" si="0"/>
        <v>64.513571778680003</v>
      </c>
      <c r="L23" s="1">
        <v>0</v>
      </c>
      <c r="M23" s="1">
        <f t="shared" si="1"/>
        <v>64.513571778680003</v>
      </c>
      <c r="N23" t="str">
        <f t="shared" si="2"/>
        <v>AP</v>
      </c>
    </row>
    <row r="24" spans="1:14" x14ac:dyDescent="0.3">
      <c r="A24" t="s">
        <v>223</v>
      </c>
      <c r="B24" s="1">
        <v>8.6143692670000007</v>
      </c>
      <c r="C24" s="1">
        <v>5.666666666666667</v>
      </c>
      <c r="D24" s="1">
        <v>6</v>
      </c>
      <c r="E24" s="1">
        <v>41.097410214666667</v>
      </c>
      <c r="F24" s="1">
        <v>9.1606040545000003</v>
      </c>
      <c r="G24" s="1">
        <v>14.666666666666666</v>
      </c>
      <c r="H24" s="1">
        <v>14</v>
      </c>
      <c r="I24" s="1">
        <v>62.777124519766666</v>
      </c>
      <c r="J24">
        <v>58</v>
      </c>
      <c r="K24" s="1">
        <f t="shared" si="0"/>
        <v>53.75608715705166</v>
      </c>
      <c r="L24" s="1">
        <v>37</v>
      </c>
      <c r="M24" s="1">
        <f t="shared" si="1"/>
        <v>53.75608715705166</v>
      </c>
      <c r="N24" t="str">
        <f t="shared" si="2"/>
        <v>RP</v>
      </c>
    </row>
    <row r="25" spans="1:14" x14ac:dyDescent="0.3">
      <c r="A25" t="s">
        <v>224</v>
      </c>
      <c r="B25" s="1">
        <v>9.9224263919999984</v>
      </c>
      <c r="C25" s="1">
        <v>10.333333333333334</v>
      </c>
      <c r="D25" s="1">
        <v>15</v>
      </c>
      <c r="E25" s="1">
        <v>57.909312272533334</v>
      </c>
      <c r="F25" s="1">
        <v>12.0007575525</v>
      </c>
      <c r="G25" s="1">
        <v>11.333333333333334</v>
      </c>
      <c r="H25" s="1">
        <v>24</v>
      </c>
      <c r="I25" s="1">
        <v>76.495207640833343</v>
      </c>
      <c r="J25">
        <v>77</v>
      </c>
      <c r="K25" s="1">
        <f t="shared" si="0"/>
        <v>70.141581969678327</v>
      </c>
      <c r="L25" s="1">
        <v>0</v>
      </c>
      <c r="M25" s="1">
        <f t="shared" si="1"/>
        <v>70.141581969678327</v>
      </c>
      <c r="N25" t="str">
        <f t="shared" si="2"/>
        <v>AP</v>
      </c>
    </row>
    <row r="26" spans="1:14" x14ac:dyDescent="0.3">
      <c r="A26" t="s">
        <v>225</v>
      </c>
      <c r="B26" s="1">
        <v>9.5449401432000016</v>
      </c>
      <c r="C26" s="1">
        <v>7.666666666666667</v>
      </c>
      <c r="D26" s="1">
        <v>15</v>
      </c>
      <c r="E26" s="1">
        <v>53.916594928766671</v>
      </c>
      <c r="F26" s="1">
        <v>10</v>
      </c>
      <c r="G26" s="1">
        <v>18</v>
      </c>
      <c r="H26" s="1">
        <v>8</v>
      </c>
      <c r="I26" s="1">
        <v>59.75</v>
      </c>
      <c r="J26">
        <v>61</v>
      </c>
      <c r="K26" s="1">
        <f t="shared" si="0"/>
        <v>58.083308225068336</v>
      </c>
      <c r="L26" s="1">
        <v>67</v>
      </c>
      <c r="M26" s="1">
        <f t="shared" si="1"/>
        <v>62.662499999999994</v>
      </c>
      <c r="N26" t="str">
        <f t="shared" si="2"/>
        <v>AP</v>
      </c>
    </row>
    <row r="27" spans="1:14" x14ac:dyDescent="0.3">
      <c r="A27" t="s">
        <v>226</v>
      </c>
      <c r="B27" s="1">
        <v>8.6639384664000012</v>
      </c>
      <c r="C27" s="1">
        <v>9.3333333333333339</v>
      </c>
      <c r="D27" s="1">
        <v>24</v>
      </c>
      <c r="E27" s="1">
        <v>59.564352390733333</v>
      </c>
      <c r="F27" s="1">
        <v>9.3696638913000001</v>
      </c>
      <c r="G27" s="1">
        <v>12.333333333333334</v>
      </c>
      <c r="H27" s="1">
        <v>24</v>
      </c>
      <c r="I27" s="1">
        <v>71.141387968433349</v>
      </c>
      <c r="J27">
        <v>70</v>
      </c>
      <c r="K27" s="1">
        <f t="shared" si="0"/>
        <v>66.747009125708331</v>
      </c>
      <c r="L27" s="1">
        <v>0</v>
      </c>
      <c r="M27" s="1">
        <f t="shared" si="1"/>
        <v>66.747009125708331</v>
      </c>
      <c r="N27" t="str">
        <f t="shared" si="2"/>
        <v>AP</v>
      </c>
    </row>
    <row r="28" spans="1:14" x14ac:dyDescent="0.3">
      <c r="A28" t="s">
        <v>227</v>
      </c>
      <c r="B28" s="1">
        <v>9.3826682952000002</v>
      </c>
      <c r="C28" s="1">
        <v>15</v>
      </c>
      <c r="D28" s="1">
        <v>24</v>
      </c>
      <c r="E28" s="1">
        <v>71.280447999199993</v>
      </c>
      <c r="F28" s="1">
        <v>10.016708449999999</v>
      </c>
      <c r="G28" s="1">
        <v>13</v>
      </c>
      <c r="H28" s="1">
        <v>28</v>
      </c>
      <c r="I28" s="1">
        <v>77.462092759000001</v>
      </c>
      <c r="J28">
        <v>64</v>
      </c>
      <c r="K28" s="1">
        <f t="shared" si="0"/>
        <v>71.259889265369992</v>
      </c>
      <c r="L28" s="1">
        <v>0</v>
      </c>
      <c r="M28" s="1">
        <f t="shared" si="1"/>
        <v>71.259889265369992</v>
      </c>
      <c r="N28" t="str">
        <f t="shared" si="2"/>
        <v>AP</v>
      </c>
    </row>
    <row r="29" spans="1:14" x14ac:dyDescent="0.3">
      <c r="A29" t="s">
        <v>228</v>
      </c>
      <c r="B29" s="1">
        <v>3.65</v>
      </c>
      <c r="C29" s="1">
        <v>11</v>
      </c>
      <c r="D29" s="1">
        <v>13</v>
      </c>
      <c r="E29" s="1">
        <v>39.75</v>
      </c>
      <c r="F29" s="1">
        <v>8.9847844380000002</v>
      </c>
      <c r="G29" s="1">
        <v>7.666666666666667</v>
      </c>
      <c r="H29" s="1">
        <v>15</v>
      </c>
      <c r="I29" s="1">
        <v>53.955825565066668</v>
      </c>
      <c r="J29">
        <v>58</v>
      </c>
      <c r="K29" s="1">
        <f t="shared" si="0"/>
        <v>50.197038947773336</v>
      </c>
      <c r="L29" s="1">
        <v>28</v>
      </c>
      <c r="M29" s="1">
        <f t="shared" si="1"/>
        <v>50.197038947773336</v>
      </c>
      <c r="N29" t="str">
        <f t="shared" si="2"/>
        <v>RP</v>
      </c>
    </row>
    <row r="30" spans="1:14" x14ac:dyDescent="0.3">
      <c r="A30" t="s">
        <v>229</v>
      </c>
      <c r="B30" s="1">
        <v>10.985614267800001</v>
      </c>
      <c r="C30" s="1">
        <v>13.666666666666666</v>
      </c>
      <c r="D30" s="1">
        <v>26</v>
      </c>
      <c r="E30" s="1">
        <v>76.251517778866656</v>
      </c>
      <c r="F30" s="1">
        <v>10</v>
      </c>
      <c r="G30" s="1">
        <v>19.333333333333332</v>
      </c>
      <c r="H30" s="1">
        <v>31</v>
      </c>
      <c r="I30" s="1">
        <v>85.383333333333326</v>
      </c>
      <c r="J30">
        <v>55</v>
      </c>
      <c r="K30" s="1">
        <f t="shared" si="0"/>
        <v>73.072197889269987</v>
      </c>
      <c r="L30" s="1">
        <v>68</v>
      </c>
      <c r="M30" s="1">
        <f t="shared" si="1"/>
        <v>73.072197889269987</v>
      </c>
      <c r="N30" t="str">
        <f t="shared" si="2"/>
        <v>AP</v>
      </c>
    </row>
    <row r="31" spans="1:14" x14ac:dyDescent="0.3">
      <c r="A31" t="s">
        <v>230</v>
      </c>
      <c r="B31" s="1">
        <v>8.4746681376000002</v>
      </c>
      <c r="C31" s="1">
        <v>11.666666666666666</v>
      </c>
      <c r="D31" s="1">
        <v>14</v>
      </c>
      <c r="E31" s="1">
        <v>56.24178122746666</v>
      </c>
      <c r="F31" s="1">
        <v>9.9165413655000005</v>
      </c>
      <c r="G31" s="1">
        <v>14</v>
      </c>
      <c r="H31" s="1">
        <v>16</v>
      </c>
      <c r="I31" s="1">
        <v>64.036925674499997</v>
      </c>
      <c r="J31">
        <v>60</v>
      </c>
      <c r="K31" s="1">
        <f t="shared" si="0"/>
        <v>60.097547415688325</v>
      </c>
      <c r="L31" s="1">
        <v>0</v>
      </c>
      <c r="M31" s="1">
        <f t="shared" si="1"/>
        <v>60.097547415688325</v>
      </c>
      <c r="N31" t="str">
        <f t="shared" si="2"/>
        <v>AP</v>
      </c>
    </row>
    <row r="32" spans="1:14" x14ac:dyDescent="0.3">
      <c r="A32" t="s">
        <v>231</v>
      </c>
      <c r="B32" s="1">
        <v>8.5646206751999987</v>
      </c>
      <c r="C32" s="1">
        <v>13.333333333333334</v>
      </c>
      <c r="D32" s="1">
        <v>31</v>
      </c>
      <c r="E32" s="1">
        <v>76.230758866133328</v>
      </c>
      <c r="F32" s="1">
        <v>11.731077607499998</v>
      </c>
      <c r="G32" s="1">
        <v>18.333333333333332</v>
      </c>
      <c r="H32" s="1">
        <v>31</v>
      </c>
      <c r="I32" s="1">
        <v>90.300527695833324</v>
      </c>
      <c r="J32">
        <v>84</v>
      </c>
      <c r="K32" s="1">
        <f t="shared" si="0"/>
        <v>83.48595029668833</v>
      </c>
      <c r="L32" s="1">
        <v>0</v>
      </c>
      <c r="M32" s="1">
        <f t="shared" si="1"/>
        <v>83.48595029668833</v>
      </c>
      <c r="N32" t="str">
        <f t="shared" si="2"/>
        <v>AP</v>
      </c>
    </row>
    <row r="33" spans="1:14" x14ac:dyDescent="0.3">
      <c r="A33" t="s">
        <v>232</v>
      </c>
      <c r="B33" s="1">
        <v>9.1136940682500001</v>
      </c>
      <c r="C33" s="1">
        <v>15.333333333333334</v>
      </c>
      <c r="D33" s="1">
        <v>24</v>
      </c>
      <c r="E33" s="1">
        <v>73.075946339083345</v>
      </c>
      <c r="F33" s="1">
        <v>10.016708449999999</v>
      </c>
      <c r="G33" s="1">
        <v>18.333333333333332</v>
      </c>
      <c r="H33" s="1">
        <v>18</v>
      </c>
      <c r="I33" s="1">
        <v>73.020426092333338</v>
      </c>
      <c r="J33">
        <v>65</v>
      </c>
      <c r="K33" s="1">
        <f t="shared" si="0"/>
        <v>70.633730350995833</v>
      </c>
      <c r="L33" s="1">
        <v>66</v>
      </c>
      <c r="M33" s="1">
        <f t="shared" si="1"/>
        <v>70.633730350995833</v>
      </c>
      <c r="N33" t="str">
        <f t="shared" si="2"/>
        <v>AP</v>
      </c>
    </row>
    <row r="34" spans="1:14" x14ac:dyDescent="0.3">
      <c r="A34" t="s">
        <v>233</v>
      </c>
      <c r="B34" s="1">
        <v>9.584014465400001</v>
      </c>
      <c r="C34" s="1">
        <v>14.333333333333334</v>
      </c>
      <c r="D34" s="1">
        <v>24</v>
      </c>
      <c r="E34" s="1">
        <v>71.521113609133337</v>
      </c>
      <c r="F34" s="1">
        <v>10.062116937599999</v>
      </c>
      <c r="G34" s="1">
        <v>16.666666666666668</v>
      </c>
      <c r="H34" s="1">
        <v>33</v>
      </c>
      <c r="I34" s="1">
        <v>86.485312084866663</v>
      </c>
      <c r="J34">
        <v>70</v>
      </c>
      <c r="K34" s="1">
        <f t="shared" si="0"/>
        <v>76.30224899289999</v>
      </c>
      <c r="L34" s="1">
        <v>0</v>
      </c>
      <c r="M34" s="1">
        <f t="shared" si="1"/>
        <v>76.30224899289999</v>
      </c>
      <c r="N34" t="str">
        <f t="shared" si="2"/>
        <v>AP</v>
      </c>
    </row>
    <row r="35" spans="1:14" x14ac:dyDescent="0.3">
      <c r="A35" t="s">
        <v>234</v>
      </c>
      <c r="B35" s="1">
        <v>8.4903306350999994</v>
      </c>
      <c r="C35" s="1">
        <v>8.6666666666666661</v>
      </c>
      <c r="D35" s="1">
        <v>13</v>
      </c>
      <c r="E35" s="1">
        <v>51.589488112066661</v>
      </c>
      <c r="F35" s="1">
        <v>9.2052606861000008</v>
      </c>
      <c r="G35" s="1">
        <v>15</v>
      </c>
      <c r="H35" s="1">
        <v>14</v>
      </c>
      <c r="I35" s="1">
        <v>61.060053814699998</v>
      </c>
      <c r="J35">
        <v>58</v>
      </c>
      <c r="K35" s="1">
        <f t="shared" si="0"/>
        <v>56.827339674368325</v>
      </c>
      <c r="L35" s="1">
        <v>47</v>
      </c>
      <c r="M35" s="1">
        <f t="shared" si="1"/>
        <v>56.827339674368325</v>
      </c>
      <c r="N35" t="str">
        <f t="shared" si="2"/>
        <v>RP</v>
      </c>
    </row>
    <row r="36" spans="1:14" x14ac:dyDescent="0.3">
      <c r="A36" t="s">
        <v>235</v>
      </c>
      <c r="B36" s="1">
        <v>8.6182181568000011</v>
      </c>
      <c r="C36" s="1">
        <v>10.333333333333334</v>
      </c>
      <c r="D36" s="1">
        <v>6</v>
      </c>
      <c r="E36" s="1">
        <v>46.382552328533336</v>
      </c>
      <c r="F36" s="1">
        <v>9.8994949410000004</v>
      </c>
      <c r="G36" s="1">
        <v>10</v>
      </c>
      <c r="H36" s="1">
        <v>14</v>
      </c>
      <c r="I36" s="1">
        <v>60.727417007999996</v>
      </c>
      <c r="J36">
        <v>78</v>
      </c>
      <c r="K36" s="1">
        <f t="shared" si="0"/>
        <v>60.888489267786667</v>
      </c>
      <c r="L36" s="1">
        <v>0</v>
      </c>
      <c r="M36" s="1">
        <f t="shared" si="1"/>
        <v>60.888489267786667</v>
      </c>
      <c r="N36" t="str">
        <f t="shared" si="2"/>
        <v>AP</v>
      </c>
    </row>
    <row r="37" spans="1:14" x14ac:dyDescent="0.3">
      <c r="A37" t="s">
        <v>236</v>
      </c>
      <c r="B37" s="1">
        <v>8.9018457153999986</v>
      </c>
      <c r="C37" s="1">
        <v>12.666666666666666</v>
      </c>
      <c r="D37" s="1">
        <v>22</v>
      </c>
      <c r="E37" s="1">
        <v>64.212476104266671</v>
      </c>
      <c r="F37" s="1">
        <v>9.5639737885000002</v>
      </c>
      <c r="G37" s="1">
        <v>15</v>
      </c>
      <c r="H37" s="1">
        <v>21</v>
      </c>
      <c r="I37" s="1">
        <v>70.8961296011</v>
      </c>
      <c r="J37">
        <v>56</v>
      </c>
      <c r="K37" s="1">
        <f t="shared" si="0"/>
        <v>64.088011996878336</v>
      </c>
      <c r="L37" s="1">
        <v>0</v>
      </c>
      <c r="M37" s="1">
        <f t="shared" si="1"/>
        <v>64.088011996878336</v>
      </c>
      <c r="N37" t="str">
        <f t="shared" si="2"/>
        <v>AP</v>
      </c>
    </row>
    <row r="38" spans="1:14" x14ac:dyDescent="0.3">
      <c r="A38" t="s">
        <v>237</v>
      </c>
      <c r="B38" s="1">
        <v>7.9967098529999996</v>
      </c>
      <c r="C38" s="1">
        <v>12.333333333333334</v>
      </c>
      <c r="D38" s="1">
        <v>17</v>
      </c>
      <c r="E38" s="1">
        <v>60.242765995233334</v>
      </c>
      <c r="F38" s="1">
        <v>8.7883271414999982</v>
      </c>
      <c r="G38" s="1">
        <v>19</v>
      </c>
      <c r="H38" s="1">
        <v>22</v>
      </c>
      <c r="I38" s="1">
        <v>76.416249208500005</v>
      </c>
      <c r="J38">
        <v>89</v>
      </c>
      <c r="K38" s="1">
        <f t="shared" si="0"/>
        <v>74.530655321306668</v>
      </c>
      <c r="L38" s="1">
        <v>0</v>
      </c>
      <c r="M38" s="1">
        <f t="shared" si="1"/>
        <v>74.530655321306668</v>
      </c>
      <c r="N38" t="str">
        <f t="shared" si="2"/>
        <v>AP</v>
      </c>
    </row>
    <row r="39" spans="1:14" x14ac:dyDescent="0.3">
      <c r="A39" t="s">
        <v>238</v>
      </c>
      <c r="B39" s="1">
        <v>4</v>
      </c>
      <c r="C39" s="1">
        <v>13</v>
      </c>
      <c r="D39" s="1">
        <v>33</v>
      </c>
      <c r="E39" s="1">
        <v>63.8</v>
      </c>
      <c r="F39" s="1">
        <v>8</v>
      </c>
      <c r="G39" s="1">
        <v>14</v>
      </c>
      <c r="H39" s="1">
        <v>25</v>
      </c>
      <c r="I39" s="1">
        <v>67.075000000000003</v>
      </c>
      <c r="J39">
        <v>43</v>
      </c>
      <c r="K39" s="1">
        <f t="shared" si="0"/>
        <v>58.706249999999997</v>
      </c>
      <c r="L39" s="1">
        <v>67</v>
      </c>
      <c r="M39" s="1">
        <f t="shared" si="1"/>
        <v>59.826249999999995</v>
      </c>
      <c r="N39" t="str">
        <f t="shared" si="2"/>
        <v>AP</v>
      </c>
    </row>
    <row r="40" spans="1:14" x14ac:dyDescent="0.3">
      <c r="A40" t="s">
        <v>239</v>
      </c>
      <c r="B40" s="1">
        <v>9.3155388585000019</v>
      </c>
      <c r="C40" s="1">
        <v>8</v>
      </c>
      <c r="D40" s="1">
        <v>8</v>
      </c>
      <c r="E40" s="1">
        <v>46.916751069</v>
      </c>
      <c r="F40" s="1">
        <v>9.626534962800001</v>
      </c>
      <c r="G40" s="1">
        <v>12</v>
      </c>
      <c r="H40" s="1">
        <v>13</v>
      </c>
      <c r="I40" s="1">
        <v>61.146428280800002</v>
      </c>
      <c r="J40">
        <v>56</v>
      </c>
      <c r="K40" s="1">
        <f t="shared" si="0"/>
        <v>54.62211277243</v>
      </c>
      <c r="L40" s="1">
        <v>42</v>
      </c>
      <c r="M40" s="1">
        <f t="shared" si="1"/>
        <v>54.62211277243</v>
      </c>
      <c r="N40" t="str">
        <f t="shared" si="2"/>
        <v>RP</v>
      </c>
    </row>
    <row r="41" spans="1:14" x14ac:dyDescent="0.3">
      <c r="A41" t="s">
        <v>240</v>
      </c>
      <c r="B41" s="1">
        <v>8.752224205400001</v>
      </c>
      <c r="C41" s="1">
        <v>11</v>
      </c>
      <c r="D41" s="1">
        <v>17</v>
      </c>
      <c r="E41" s="1">
        <v>55.182769193200002</v>
      </c>
      <c r="F41" s="1">
        <v>9.6348985954999993</v>
      </c>
      <c r="G41" s="1">
        <v>8.6666666666666661</v>
      </c>
      <c r="H41" s="1">
        <v>8</v>
      </c>
      <c r="I41" s="1">
        <v>50.219685145166665</v>
      </c>
      <c r="J41">
        <v>58</v>
      </c>
      <c r="K41" s="1">
        <f t="shared" si="0"/>
        <v>54.290859018428328</v>
      </c>
      <c r="L41" s="1">
        <v>52</v>
      </c>
      <c r="M41" s="1">
        <f t="shared" si="1"/>
        <v>54.91396921762</v>
      </c>
      <c r="N41" t="str">
        <f t="shared" si="2"/>
        <v>RP</v>
      </c>
    </row>
    <row r="42" spans="1:14" x14ac:dyDescent="0.3">
      <c r="A42" t="s">
        <v>241</v>
      </c>
      <c r="B42" s="1">
        <v>7.5489927139999997</v>
      </c>
      <c r="C42" s="1">
        <v>7.666666666666667</v>
      </c>
      <c r="D42" s="1">
        <v>20</v>
      </c>
      <c r="E42" s="1">
        <v>55.944517639666664</v>
      </c>
      <c r="F42" s="1">
        <v>9.6652297760000003</v>
      </c>
      <c r="G42" s="1">
        <v>16.333333333333332</v>
      </c>
      <c r="H42" s="1">
        <v>25</v>
      </c>
      <c r="I42" s="1">
        <v>77.124667013333337</v>
      </c>
      <c r="J42">
        <v>74</v>
      </c>
      <c r="K42" s="1">
        <f t="shared" si="0"/>
        <v>68.774214628549998</v>
      </c>
      <c r="L42" s="1">
        <v>0</v>
      </c>
      <c r="M42" s="1">
        <f t="shared" si="1"/>
        <v>68.774214628549998</v>
      </c>
      <c r="N42" t="str">
        <f t="shared" si="2"/>
        <v>AP</v>
      </c>
    </row>
    <row r="43" spans="1:14" x14ac:dyDescent="0.3">
      <c r="A43" t="s">
        <v>242</v>
      </c>
      <c r="B43" s="1">
        <v>7.2381965544000009</v>
      </c>
      <c r="C43" s="1">
        <v>7</v>
      </c>
      <c r="D43" s="1">
        <v>20</v>
      </c>
      <c r="E43" s="1">
        <v>50.871064278200002</v>
      </c>
      <c r="F43" s="1">
        <v>6.9029251719999998</v>
      </c>
      <c r="G43" s="1">
        <v>12</v>
      </c>
      <c r="H43" s="1">
        <v>16</v>
      </c>
      <c r="I43" s="1">
        <v>54.025909476399995</v>
      </c>
      <c r="J43">
        <v>56</v>
      </c>
      <c r="K43" s="1">
        <f t="shared" si="0"/>
        <v>53.513940814110001</v>
      </c>
      <c r="L43" s="1">
        <v>0</v>
      </c>
      <c r="M43" s="1">
        <f t="shared" si="1"/>
        <v>53.513940814110001</v>
      </c>
      <c r="N43" t="str">
        <f t="shared" si="2"/>
        <v>RP</v>
      </c>
    </row>
    <row r="44" spans="1:14" x14ac:dyDescent="0.3">
      <c r="A44" t="s">
        <v>243</v>
      </c>
      <c r="B44" s="1">
        <v>9.233805168</v>
      </c>
      <c r="C44" s="1">
        <v>12.666666666666666</v>
      </c>
      <c r="D44" s="1">
        <v>21</v>
      </c>
      <c r="E44" s="1">
        <v>61.569874837866664</v>
      </c>
      <c r="F44" s="1">
        <v>6.7082039289999997</v>
      </c>
      <c r="G44" s="1">
        <v>9.3333333333333339</v>
      </c>
      <c r="H44" s="1">
        <v>14</v>
      </c>
      <c r="I44" s="1">
        <v>47.691359793533337</v>
      </c>
      <c r="J44">
        <v>65</v>
      </c>
      <c r="K44" s="1">
        <f t="shared" si="0"/>
        <v>57.741432120989998</v>
      </c>
      <c r="L44" s="1">
        <v>47</v>
      </c>
      <c r="M44" s="1">
        <f t="shared" si="1"/>
        <v>57.741432120989991</v>
      </c>
      <c r="N44" t="str">
        <f t="shared" si="2"/>
        <v>RP</v>
      </c>
    </row>
    <row r="45" spans="1:14" x14ac:dyDescent="0.3">
      <c r="A45" t="s">
        <v>244</v>
      </c>
      <c r="B45" s="1">
        <v>4.9894005294000001</v>
      </c>
      <c r="C45" s="1">
        <v>11.666666666666666</v>
      </c>
      <c r="D45" s="1">
        <v>10</v>
      </c>
      <c r="E45" s="1">
        <v>43.818403025966667</v>
      </c>
      <c r="F45" s="1">
        <v>7.9</v>
      </c>
      <c r="G45" s="1">
        <v>20</v>
      </c>
      <c r="H45" s="1">
        <v>32</v>
      </c>
      <c r="I45" s="1">
        <v>80.800000000000011</v>
      </c>
      <c r="J45">
        <v>29</v>
      </c>
      <c r="K45" s="1">
        <f t="shared" si="0"/>
        <v>52.316441059088334</v>
      </c>
      <c r="L45" s="1">
        <v>57</v>
      </c>
      <c r="M45" s="1">
        <f t="shared" si="1"/>
        <v>56.930000000000007</v>
      </c>
      <c r="N45" t="str">
        <f t="shared" si="2"/>
        <v>RP</v>
      </c>
    </row>
    <row r="46" spans="1:14" x14ac:dyDescent="0.3">
      <c r="A46" t="s">
        <v>245</v>
      </c>
      <c r="B46" s="1">
        <v>9.2153717739999994</v>
      </c>
      <c r="C46" s="1">
        <v>13</v>
      </c>
      <c r="D46" s="1">
        <v>30</v>
      </c>
      <c r="E46" s="1">
        <v>74.384085237999997</v>
      </c>
      <c r="F46" s="1">
        <v>9.233805168</v>
      </c>
      <c r="G46" s="1">
        <v>18.333333333333332</v>
      </c>
      <c r="H46" s="1">
        <v>19</v>
      </c>
      <c r="I46" s="1">
        <v>69.182117691733339</v>
      </c>
      <c r="J46">
        <v>67</v>
      </c>
      <c r="K46" s="1">
        <f t="shared" si="0"/>
        <v>70.348171025406657</v>
      </c>
      <c r="L46" s="1">
        <v>0</v>
      </c>
      <c r="M46" s="1">
        <f t="shared" si="1"/>
        <v>70.348171025406657</v>
      </c>
      <c r="N46" t="str">
        <f t="shared" si="2"/>
        <v>AP</v>
      </c>
    </row>
    <row r="47" spans="1:14" x14ac:dyDescent="0.3">
      <c r="A47" t="s">
        <v>246</v>
      </c>
      <c r="B47" s="1">
        <v>9.5449401432000016</v>
      </c>
      <c r="C47" s="1">
        <v>13</v>
      </c>
      <c r="D47" s="1">
        <v>16</v>
      </c>
      <c r="E47" s="1">
        <v>59.191532575400004</v>
      </c>
      <c r="F47" s="1">
        <v>9.5</v>
      </c>
      <c r="G47" s="1">
        <v>6.333333333333333</v>
      </c>
      <c r="H47" s="1">
        <v>18</v>
      </c>
      <c r="I47" s="1">
        <v>55.733333333333334</v>
      </c>
      <c r="J47">
        <v>43</v>
      </c>
      <c r="K47" s="1">
        <f t="shared" si="0"/>
        <v>53.123703068056663</v>
      </c>
      <c r="L47" s="1">
        <v>0</v>
      </c>
      <c r="M47" s="1">
        <f t="shared" si="1"/>
        <v>53.123703068056663</v>
      </c>
      <c r="N47" t="str">
        <f t="shared" si="2"/>
        <v>RP</v>
      </c>
    </row>
    <row r="48" spans="1:14" x14ac:dyDescent="0.3">
      <c r="A48" t="s">
        <v>247</v>
      </c>
      <c r="B48" s="1">
        <v>6.2457604672000002</v>
      </c>
      <c r="C48" s="1">
        <v>16</v>
      </c>
      <c r="D48" s="1">
        <v>25</v>
      </c>
      <c r="E48" s="1">
        <v>65.990171189899996</v>
      </c>
      <c r="F48" s="1">
        <v>7.5871513031999998</v>
      </c>
      <c r="G48" s="1">
        <v>6.666666666666667</v>
      </c>
      <c r="H48" s="1">
        <v>24</v>
      </c>
      <c r="I48" s="1">
        <v>60.035559295466662</v>
      </c>
      <c r="J48">
        <v>60</v>
      </c>
      <c r="K48" s="1">
        <f t="shared" si="0"/>
        <v>62.109005669878329</v>
      </c>
      <c r="L48" s="1">
        <v>0</v>
      </c>
      <c r="M48" s="1">
        <f t="shared" si="1"/>
        <v>62.109005669878329</v>
      </c>
      <c r="N48" t="str">
        <f t="shared" si="2"/>
        <v>AP</v>
      </c>
    </row>
    <row r="49" spans="1:14" x14ac:dyDescent="0.3">
      <c r="A49" t="s">
        <v>248</v>
      </c>
      <c r="B49" s="1">
        <v>6.8934751775999992</v>
      </c>
      <c r="C49" s="1">
        <v>9.6666666666666661</v>
      </c>
      <c r="D49" s="1">
        <v>0</v>
      </c>
      <c r="E49" s="1">
        <v>28.989189770666663</v>
      </c>
      <c r="F49" s="1">
        <v>1</v>
      </c>
      <c r="G49" s="1">
        <v>0</v>
      </c>
      <c r="H49" s="1">
        <v>0</v>
      </c>
      <c r="I49" s="1">
        <v>5.3</v>
      </c>
      <c r="J49">
        <v>9</v>
      </c>
      <c r="K49" s="1">
        <f t="shared" si="0"/>
        <v>14.701216419733329</v>
      </c>
      <c r="L49" s="1">
        <v>0</v>
      </c>
      <c r="M49" s="1">
        <f t="shared" si="1"/>
        <v>14.701216419733329</v>
      </c>
      <c r="N49" t="str">
        <f t="shared" si="2"/>
        <v>RP</v>
      </c>
    </row>
    <row r="50" spans="1:14" x14ac:dyDescent="0.3">
      <c r="B50" s="1"/>
      <c r="C50" s="1"/>
      <c r="D50" s="1"/>
      <c r="E50" s="1"/>
      <c r="F50" s="1"/>
      <c r="G50" s="1"/>
      <c r="H50" s="1"/>
      <c r="I50" s="1"/>
    </row>
    <row r="51" spans="1:14" x14ac:dyDescent="0.3">
      <c r="B51" s="1"/>
      <c r="C51" s="1"/>
      <c r="D51" s="1"/>
      <c r="E51" s="1"/>
      <c r="F51" s="1"/>
      <c r="G51" s="1"/>
      <c r="H51" s="1"/>
      <c r="I51" s="1"/>
    </row>
    <row r="52" spans="1:14" x14ac:dyDescent="0.3">
      <c r="B52" s="1"/>
      <c r="C52" s="1"/>
      <c r="D52" s="1"/>
      <c r="E52" s="1"/>
      <c r="F52" s="1"/>
      <c r="G52" s="1"/>
      <c r="H52" s="1"/>
      <c r="I52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D8B-C3AE-490A-BFD6-B77DAC7DA4EB}">
  <dimension ref="A1:N52"/>
  <sheetViews>
    <sheetView topLeftCell="A25" workbookViewId="0">
      <selection activeCell="N50" sqref="N50"/>
    </sheetView>
  </sheetViews>
  <sheetFormatPr defaultRowHeight="14.4" x14ac:dyDescent="0.3"/>
  <cols>
    <col min="3" max="3" width="10.44140625" bestFit="1" customWidth="1"/>
  </cols>
  <sheetData>
    <row r="1" spans="1:14" ht="43.2" x14ac:dyDescent="0.3">
      <c r="A1" s="2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297</v>
      </c>
      <c r="L1" s="2" t="s">
        <v>298</v>
      </c>
      <c r="M1" s="2" t="s">
        <v>299</v>
      </c>
      <c r="N1" s="2" t="s">
        <v>300</v>
      </c>
    </row>
    <row r="2" spans="1:14" x14ac:dyDescent="0.3">
      <c r="A2" t="s">
        <v>249</v>
      </c>
      <c r="B2" s="1">
        <v>7.8743658844000004</v>
      </c>
      <c r="C2" s="1">
        <v>10</v>
      </c>
      <c r="D2" s="1">
        <v>21</v>
      </c>
      <c r="E2" s="1">
        <v>63.496511199099999</v>
      </c>
      <c r="F2" s="1">
        <v>11.669199299999999</v>
      </c>
      <c r="G2" s="1">
        <v>8</v>
      </c>
      <c r="H2" s="1">
        <v>11</v>
      </c>
      <c r="I2" s="1">
        <v>54.421478669999999</v>
      </c>
      <c r="J2">
        <v>94</v>
      </c>
      <c r="K2" s="1">
        <f>(0.3*J2)+((E2+I2)*0.35)</f>
        <v>69.471296454184994</v>
      </c>
      <c r="L2" s="1">
        <v>0</v>
      </c>
      <c r="M2" s="1">
        <f>(0.7*(SUM(E2,I2,L2)-MIN(E2,I2,L2))/2)+(0.3*J2)</f>
        <v>69.471296454184994</v>
      </c>
      <c r="N2" t="str">
        <f>IF(M2&gt;59.5,"AP","RP")</f>
        <v>AP</v>
      </c>
    </row>
    <row r="3" spans="1:14" x14ac:dyDescent="0.3">
      <c r="A3" t="s">
        <v>250</v>
      </c>
      <c r="B3" s="1">
        <v>7.713544423200001</v>
      </c>
      <c r="C3" s="1">
        <v>3.6666666666666665</v>
      </c>
      <c r="D3" s="1">
        <v>16</v>
      </c>
      <c r="E3" s="1">
        <v>50.200615675466665</v>
      </c>
      <c r="F3" s="1">
        <v>4.9000000000000004</v>
      </c>
      <c r="G3" s="1">
        <v>3.3333333333333335</v>
      </c>
      <c r="H3" s="1">
        <v>10</v>
      </c>
      <c r="I3" s="1">
        <v>36.983333333333334</v>
      </c>
      <c r="J3">
        <v>47</v>
      </c>
      <c r="K3" s="1">
        <f t="shared" ref="K3:K49" si="0">(0.3*J3)+((E3+I3)*0.35)</f>
        <v>44.614382153079994</v>
      </c>
      <c r="L3" s="1">
        <v>0</v>
      </c>
      <c r="M3" s="1">
        <f t="shared" ref="M3:M49" si="1">(0.7*(SUM(E3,I3,L3)-MIN(E3,I3,L3))/2)+(0.3*J3)</f>
        <v>44.614382153079994</v>
      </c>
      <c r="N3" t="str">
        <f t="shared" ref="N3:N49" si="2">IF(M3&gt;59.5,"AP","RP")</f>
        <v>RP</v>
      </c>
    </row>
    <row r="4" spans="1:14" x14ac:dyDescent="0.3">
      <c r="A4" t="s">
        <v>251</v>
      </c>
      <c r="B4" s="1">
        <v>8.5061840644999993</v>
      </c>
      <c r="C4" s="1">
        <v>12.333333333333334</v>
      </c>
      <c r="D4" s="1">
        <v>24</v>
      </c>
      <c r="E4" s="1">
        <v>67.615175088133327</v>
      </c>
      <c r="F4" s="1">
        <v>9.8000000000000007</v>
      </c>
      <c r="G4" s="1">
        <v>9.6666666666666661</v>
      </c>
      <c r="H4" s="1">
        <v>18</v>
      </c>
      <c r="I4" s="1">
        <v>62.666666666666664</v>
      </c>
      <c r="J4">
        <v>59</v>
      </c>
      <c r="K4" s="1">
        <f t="shared" si="0"/>
        <v>63.298644614179992</v>
      </c>
      <c r="L4" s="1">
        <v>0</v>
      </c>
      <c r="M4" s="1">
        <f t="shared" si="1"/>
        <v>63.298644614179992</v>
      </c>
      <c r="N4" t="str">
        <f t="shared" si="2"/>
        <v>AP</v>
      </c>
    </row>
    <row r="5" spans="1:14" x14ac:dyDescent="0.3">
      <c r="A5" t="s">
        <v>252</v>
      </c>
      <c r="B5" s="1">
        <v>8.5</v>
      </c>
      <c r="C5" s="1">
        <v>10</v>
      </c>
      <c r="D5" s="1">
        <v>23</v>
      </c>
      <c r="E5" s="1">
        <v>63.05</v>
      </c>
      <c r="F5" s="1">
        <v>7.5561805499999997</v>
      </c>
      <c r="G5" s="1">
        <v>5.666666666666667</v>
      </c>
      <c r="H5" s="1">
        <v>15</v>
      </c>
      <c r="I5" s="1">
        <v>51.393260172666665</v>
      </c>
      <c r="J5">
        <v>78</v>
      </c>
      <c r="K5" s="1">
        <f t="shared" si="0"/>
        <v>63.455141060433327</v>
      </c>
      <c r="L5" s="1">
        <v>0</v>
      </c>
      <c r="M5" s="1">
        <f t="shared" si="1"/>
        <v>63.455141060433327</v>
      </c>
      <c r="N5" t="str">
        <f t="shared" si="2"/>
        <v>AP</v>
      </c>
    </row>
    <row r="6" spans="1:14" x14ac:dyDescent="0.3">
      <c r="A6" t="s">
        <v>253</v>
      </c>
      <c r="B6" s="1">
        <v>9.7082782545999997</v>
      </c>
      <c r="C6" s="1">
        <v>7.333333333333333</v>
      </c>
      <c r="D6" s="1">
        <v>20</v>
      </c>
      <c r="E6" s="1">
        <v>60.252964957433335</v>
      </c>
      <c r="F6" s="1">
        <v>9.817979836000001</v>
      </c>
      <c r="G6" s="1">
        <v>9.3333333333333339</v>
      </c>
      <c r="H6" s="1">
        <v>13</v>
      </c>
      <c r="I6" s="1">
        <v>57.022652133333331</v>
      </c>
      <c r="J6">
        <v>86</v>
      </c>
      <c r="K6" s="1">
        <f t="shared" si="0"/>
        <v>66.846465981768333</v>
      </c>
      <c r="L6" s="1">
        <v>0</v>
      </c>
      <c r="M6" s="1">
        <f t="shared" si="1"/>
        <v>66.846465981768333</v>
      </c>
      <c r="N6" t="str">
        <f t="shared" si="2"/>
        <v>AP</v>
      </c>
    </row>
    <row r="7" spans="1:14" x14ac:dyDescent="0.3">
      <c r="A7" t="s">
        <v>254</v>
      </c>
      <c r="B7" s="1">
        <v>7.0917031484999997</v>
      </c>
      <c r="C7" s="1">
        <v>7.666666666666667</v>
      </c>
      <c r="D7" s="1">
        <v>26</v>
      </c>
      <c r="E7" s="1">
        <v>62.827875062666664</v>
      </c>
      <c r="F7" s="1">
        <v>8.7095585819999997</v>
      </c>
      <c r="G7" s="1">
        <v>16.333333333333332</v>
      </c>
      <c r="H7" s="1">
        <v>28</v>
      </c>
      <c r="I7" s="1">
        <v>75.877929237333333</v>
      </c>
      <c r="J7">
        <v>44</v>
      </c>
      <c r="K7" s="1">
        <f t="shared" si="0"/>
        <v>61.747031504999995</v>
      </c>
      <c r="L7" s="1">
        <v>0</v>
      </c>
      <c r="M7" s="1">
        <f t="shared" si="1"/>
        <v>61.747031504999995</v>
      </c>
      <c r="N7" t="str">
        <f t="shared" si="2"/>
        <v>AP</v>
      </c>
    </row>
    <row r="8" spans="1:14" x14ac:dyDescent="0.3">
      <c r="A8" t="s">
        <v>255</v>
      </c>
      <c r="B8" s="1">
        <v>9.501719142799999</v>
      </c>
      <c r="C8" s="1">
        <v>14.333333333333334</v>
      </c>
      <c r="D8" s="1">
        <v>20</v>
      </c>
      <c r="E8" s="1">
        <v>65.936771618933335</v>
      </c>
      <c r="F8" s="1">
        <v>9.7135332420000005</v>
      </c>
      <c r="G8" s="1">
        <v>12</v>
      </c>
      <c r="H8" s="1">
        <v>24</v>
      </c>
      <c r="I8" s="1">
        <v>70.084872206</v>
      </c>
      <c r="J8">
        <v>86</v>
      </c>
      <c r="K8" s="1">
        <f t="shared" si="0"/>
        <v>73.407575338726659</v>
      </c>
      <c r="L8" s="1">
        <v>0</v>
      </c>
      <c r="M8" s="1">
        <f t="shared" si="1"/>
        <v>73.407575338726659</v>
      </c>
      <c r="N8" t="str">
        <f t="shared" si="2"/>
        <v>AP</v>
      </c>
    </row>
    <row r="9" spans="1:14" x14ac:dyDescent="0.3">
      <c r="A9" t="s">
        <v>256</v>
      </c>
      <c r="B9" s="1">
        <v>9.4</v>
      </c>
      <c r="C9" s="1">
        <v>16.333333333333332</v>
      </c>
      <c r="D9" s="1">
        <v>24</v>
      </c>
      <c r="E9" s="1">
        <v>71.733333333333334</v>
      </c>
      <c r="F9" s="1">
        <v>9.5</v>
      </c>
      <c r="G9" s="1">
        <v>17</v>
      </c>
      <c r="H9" s="1">
        <v>33</v>
      </c>
      <c r="I9" s="1">
        <v>83.95</v>
      </c>
      <c r="J9">
        <v>60</v>
      </c>
      <c r="K9" s="1">
        <f t="shared" si="0"/>
        <v>72.489166666666662</v>
      </c>
      <c r="L9" s="1">
        <v>0</v>
      </c>
      <c r="M9" s="1">
        <f t="shared" si="1"/>
        <v>72.489166666666662</v>
      </c>
      <c r="N9" t="str">
        <f t="shared" si="2"/>
        <v>AP</v>
      </c>
    </row>
    <row r="10" spans="1:14" x14ac:dyDescent="0.3">
      <c r="A10" t="s">
        <v>257</v>
      </c>
      <c r="B10" s="1">
        <v>9.4</v>
      </c>
      <c r="C10" s="1">
        <v>8</v>
      </c>
      <c r="D10" s="1">
        <v>8</v>
      </c>
      <c r="E10" s="1">
        <v>46.932999999999993</v>
      </c>
      <c r="F10" s="1">
        <v>8.2535478819999994</v>
      </c>
      <c r="G10" s="1">
        <v>6</v>
      </c>
      <c r="H10" s="1">
        <v>6</v>
      </c>
      <c r="I10" s="1">
        <v>42.299867660000004</v>
      </c>
      <c r="J10">
        <v>73</v>
      </c>
      <c r="K10" s="1">
        <f t="shared" si="0"/>
        <v>53.131503680999998</v>
      </c>
      <c r="L10" s="1">
        <v>42</v>
      </c>
      <c r="M10" s="1">
        <f t="shared" si="1"/>
        <v>53.131503680999998</v>
      </c>
      <c r="N10" t="str">
        <f t="shared" si="2"/>
        <v>RP</v>
      </c>
    </row>
    <row r="11" spans="1:14" x14ac:dyDescent="0.3">
      <c r="A11" t="s">
        <v>258</v>
      </c>
      <c r="B11" s="1">
        <v>8.6182181568000011</v>
      </c>
      <c r="C11" s="1">
        <v>19.333333333333332</v>
      </c>
      <c r="D11" s="1">
        <v>36</v>
      </c>
      <c r="E11" s="1">
        <v>89.790683054933339</v>
      </c>
      <c r="F11" s="1">
        <v>9.6999999999999993</v>
      </c>
      <c r="G11" s="1">
        <v>19</v>
      </c>
      <c r="H11" s="1">
        <v>35</v>
      </c>
      <c r="I11" s="1">
        <v>86.3</v>
      </c>
      <c r="J11">
        <v>76</v>
      </c>
      <c r="K11" s="1">
        <f t="shared" si="0"/>
        <v>84.431739069226666</v>
      </c>
      <c r="L11" s="1">
        <v>0</v>
      </c>
      <c r="M11" s="1">
        <f t="shared" si="1"/>
        <v>84.431739069226666</v>
      </c>
      <c r="N11" t="str">
        <f t="shared" si="2"/>
        <v>AP</v>
      </c>
    </row>
    <row r="12" spans="1:14" x14ac:dyDescent="0.3">
      <c r="A12" t="s">
        <v>259</v>
      </c>
      <c r="B12" s="1">
        <v>8.0026311456000006</v>
      </c>
      <c r="C12" s="1">
        <v>14.666666666666666</v>
      </c>
      <c r="D12" s="1">
        <v>20</v>
      </c>
      <c r="E12" s="1">
        <v>64.001048860266678</v>
      </c>
      <c r="F12" s="1">
        <v>3.85</v>
      </c>
      <c r="G12" s="1">
        <v>8.6666666666666661</v>
      </c>
      <c r="H12" s="1">
        <v>17</v>
      </c>
      <c r="I12" s="1">
        <v>46.266666666666666</v>
      </c>
      <c r="J12">
        <v>61</v>
      </c>
      <c r="K12" s="1">
        <f t="shared" si="0"/>
        <v>56.893700434426663</v>
      </c>
      <c r="L12" s="1">
        <v>31</v>
      </c>
      <c r="M12" s="1">
        <f t="shared" si="1"/>
        <v>56.893700434426663</v>
      </c>
      <c r="N12" t="str">
        <f t="shared" si="2"/>
        <v>RP</v>
      </c>
    </row>
    <row r="13" spans="1:14" x14ac:dyDescent="0.3">
      <c r="A13" t="s">
        <v>260</v>
      </c>
      <c r="B13" s="1">
        <v>9.3648091425000004</v>
      </c>
      <c r="C13" s="1">
        <v>17</v>
      </c>
      <c r="D13" s="1">
        <v>30</v>
      </c>
      <c r="E13" s="1">
        <v>79.4400713725</v>
      </c>
      <c r="F13" s="1">
        <v>8.5436001840000007</v>
      </c>
      <c r="G13" s="1">
        <v>14.666666666666666</v>
      </c>
      <c r="H13" s="1">
        <v>36</v>
      </c>
      <c r="I13" s="1">
        <v>84.748314710666676</v>
      </c>
      <c r="J13">
        <v>64</v>
      </c>
      <c r="K13" s="1">
        <f t="shared" si="0"/>
        <v>76.665935129108334</v>
      </c>
      <c r="L13" s="1">
        <v>0</v>
      </c>
      <c r="M13" s="1">
        <f t="shared" si="1"/>
        <v>76.665935129108334</v>
      </c>
      <c r="N13" t="str">
        <f t="shared" si="2"/>
        <v>AP</v>
      </c>
    </row>
    <row r="14" spans="1:14" x14ac:dyDescent="0.3">
      <c r="A14" t="s">
        <v>261</v>
      </c>
      <c r="B14" s="1">
        <v>10.422612783200002</v>
      </c>
      <c r="C14" s="1">
        <v>11</v>
      </c>
      <c r="D14" s="1">
        <v>26</v>
      </c>
      <c r="E14" s="1">
        <v>70.251845698400004</v>
      </c>
      <c r="F14" s="1">
        <v>12.453222200000001</v>
      </c>
      <c r="G14" s="1">
        <v>10.333333333333334</v>
      </c>
      <c r="H14" s="1">
        <v>19</v>
      </c>
      <c r="I14" s="1">
        <v>64.364240700000011</v>
      </c>
      <c r="J14">
        <v>96</v>
      </c>
      <c r="K14" s="1">
        <f t="shared" si="0"/>
        <v>75.915630239439992</v>
      </c>
      <c r="L14" s="1">
        <v>0</v>
      </c>
      <c r="M14" s="1">
        <f t="shared" si="1"/>
        <v>75.915630239439992</v>
      </c>
      <c r="N14" t="str">
        <f t="shared" si="2"/>
        <v>AP</v>
      </c>
    </row>
    <row r="15" spans="1:14" x14ac:dyDescent="0.3">
      <c r="A15" t="s">
        <v>262</v>
      </c>
      <c r="B15" s="1">
        <v>5.3</v>
      </c>
      <c r="C15" s="1">
        <v>9.3333333333333339</v>
      </c>
      <c r="D15" s="1">
        <v>24</v>
      </c>
      <c r="E15" s="1">
        <v>56.93333333333333</v>
      </c>
      <c r="F15" s="1">
        <v>6.8</v>
      </c>
      <c r="G15" s="1">
        <v>12.666666666666666</v>
      </c>
      <c r="H15" s="1">
        <v>19</v>
      </c>
      <c r="I15" s="1">
        <v>61.466666666666669</v>
      </c>
      <c r="J15">
        <v>62</v>
      </c>
      <c r="K15" s="1">
        <f t="shared" si="0"/>
        <v>60.039999999999992</v>
      </c>
      <c r="L15" s="1">
        <v>0</v>
      </c>
      <c r="M15" s="1">
        <f t="shared" si="1"/>
        <v>60.039999999999992</v>
      </c>
      <c r="N15" t="str">
        <f t="shared" si="2"/>
        <v>AP</v>
      </c>
    </row>
    <row r="16" spans="1:14" x14ac:dyDescent="0.3">
      <c r="A16" t="s">
        <v>263</v>
      </c>
      <c r="B16" s="1">
        <v>6.6186339836000005</v>
      </c>
      <c r="C16" s="1">
        <v>14</v>
      </c>
      <c r="D16" s="1">
        <v>29</v>
      </c>
      <c r="E16" s="1">
        <v>63.094593610400004</v>
      </c>
      <c r="F16" s="1">
        <v>5.1403168600000004</v>
      </c>
      <c r="G16" s="1">
        <v>6.333333333333333</v>
      </c>
      <c r="H16" s="1">
        <v>14</v>
      </c>
      <c r="I16" s="1">
        <v>40.231753903333328</v>
      </c>
      <c r="J16">
        <v>47</v>
      </c>
      <c r="K16" s="1">
        <f t="shared" si="0"/>
        <v>50.26422162980667</v>
      </c>
      <c r="L16" s="1">
        <v>0</v>
      </c>
      <c r="M16" s="1">
        <f t="shared" si="1"/>
        <v>50.26422162980667</v>
      </c>
      <c r="N16" t="str">
        <f t="shared" si="2"/>
        <v>RP</v>
      </c>
    </row>
    <row r="17" spans="1:14" x14ac:dyDescent="0.3">
      <c r="A17" t="s">
        <v>264</v>
      </c>
      <c r="B17" s="1">
        <v>5.7690085506400006</v>
      </c>
      <c r="C17" s="1">
        <v>12.666666666666666</v>
      </c>
      <c r="D17" s="1">
        <v>24</v>
      </c>
      <c r="E17" s="1">
        <v>63.187013877306669</v>
      </c>
      <c r="F17" s="1">
        <v>9.3000000000000007</v>
      </c>
      <c r="G17" s="1">
        <v>13</v>
      </c>
      <c r="H17" s="1">
        <v>5</v>
      </c>
      <c r="I17" s="1">
        <v>49.75</v>
      </c>
      <c r="J17">
        <v>73</v>
      </c>
      <c r="K17" s="1">
        <f t="shared" si="0"/>
        <v>61.42795485705733</v>
      </c>
      <c r="L17" s="1">
        <v>46</v>
      </c>
      <c r="M17" s="1">
        <f t="shared" si="1"/>
        <v>61.42795485705733</v>
      </c>
      <c r="N17" t="str">
        <f t="shared" si="2"/>
        <v>AP</v>
      </c>
    </row>
    <row r="18" spans="1:14" x14ac:dyDescent="0.3">
      <c r="A18" t="s">
        <v>265</v>
      </c>
      <c r="B18" s="1">
        <v>8.8555210568000007</v>
      </c>
      <c r="C18" s="1">
        <v>4</v>
      </c>
      <c r="D18" s="1">
        <v>12</v>
      </c>
      <c r="E18" s="1">
        <v>43.2623039558</v>
      </c>
      <c r="F18" s="1">
        <v>10.155927215</v>
      </c>
      <c r="G18" s="1">
        <v>8.6666666666666661</v>
      </c>
      <c r="H18" s="1">
        <v>7</v>
      </c>
      <c r="I18" s="1">
        <v>47.864155928999999</v>
      </c>
      <c r="J18">
        <v>69</v>
      </c>
      <c r="K18" s="1">
        <f t="shared" si="0"/>
        <v>52.59426095968</v>
      </c>
      <c r="L18" s="1">
        <v>0</v>
      </c>
      <c r="M18" s="1">
        <f t="shared" si="1"/>
        <v>52.59426095968</v>
      </c>
      <c r="N18" t="str">
        <f t="shared" si="2"/>
        <v>RP</v>
      </c>
    </row>
    <row r="19" spans="1:14" x14ac:dyDescent="0.3">
      <c r="A19" t="s">
        <v>266</v>
      </c>
      <c r="B19" s="1">
        <v>4.3499999999999996</v>
      </c>
      <c r="C19" s="1">
        <v>6.333333333333333</v>
      </c>
      <c r="D19" s="1">
        <v>8</v>
      </c>
      <c r="E19" s="1">
        <v>34.166333333333327</v>
      </c>
      <c r="F19" s="1">
        <v>9.8000000000000007</v>
      </c>
      <c r="G19" s="1">
        <v>8.3333333333333339</v>
      </c>
      <c r="H19" s="1">
        <v>4</v>
      </c>
      <c r="I19" s="1">
        <v>46.483333333333334</v>
      </c>
      <c r="J19">
        <v>61</v>
      </c>
      <c r="K19" s="1">
        <f t="shared" si="0"/>
        <v>46.527383333333333</v>
      </c>
      <c r="L19" s="1">
        <v>0</v>
      </c>
      <c r="M19" s="1">
        <f t="shared" si="1"/>
        <v>46.527383333333333</v>
      </c>
      <c r="N19" t="str">
        <f t="shared" si="2"/>
        <v>RP</v>
      </c>
    </row>
    <row r="20" spans="1:14" x14ac:dyDescent="0.3">
      <c r="A20" t="s">
        <v>267</v>
      </c>
      <c r="B20" s="1">
        <v>9.1112483886</v>
      </c>
      <c r="C20" s="1">
        <v>18</v>
      </c>
      <c r="D20" s="1">
        <v>33</v>
      </c>
      <c r="E20" s="1">
        <v>83.829462634799995</v>
      </c>
      <c r="F20" s="1">
        <v>9.8000000000000007</v>
      </c>
      <c r="G20" s="1">
        <v>17.333333333333332</v>
      </c>
      <c r="H20" s="1">
        <v>32</v>
      </c>
      <c r="I20" s="1">
        <v>85.883333333333326</v>
      </c>
      <c r="J20">
        <v>60</v>
      </c>
      <c r="K20" s="1">
        <f t="shared" si="0"/>
        <v>77.399478588846648</v>
      </c>
      <c r="L20" s="1">
        <v>0</v>
      </c>
      <c r="M20" s="1">
        <f t="shared" si="1"/>
        <v>77.399478588846648</v>
      </c>
      <c r="N20" t="str">
        <f t="shared" si="2"/>
        <v>AP</v>
      </c>
    </row>
    <row r="21" spans="1:14" x14ac:dyDescent="0.3">
      <c r="A21" t="s">
        <v>268</v>
      </c>
      <c r="B21" s="1">
        <v>9.8000000000000007</v>
      </c>
      <c r="C21" s="1">
        <v>18</v>
      </c>
      <c r="D21" s="1">
        <v>29</v>
      </c>
      <c r="E21" s="1">
        <v>79.45</v>
      </c>
      <c r="F21" s="1">
        <v>9.8000000000000007</v>
      </c>
      <c r="G21" s="1">
        <v>10.666666666666666</v>
      </c>
      <c r="H21" s="1">
        <v>22</v>
      </c>
      <c r="I21" s="1">
        <v>66.216666666666669</v>
      </c>
      <c r="J21">
        <v>77</v>
      </c>
      <c r="K21" s="1">
        <f t="shared" si="0"/>
        <v>74.083333333333329</v>
      </c>
      <c r="L21" s="1">
        <v>0</v>
      </c>
      <c r="M21" s="1">
        <f t="shared" si="1"/>
        <v>74.083333333333329</v>
      </c>
      <c r="N21" t="str">
        <f t="shared" si="2"/>
        <v>AP</v>
      </c>
    </row>
    <row r="22" spans="1:14" x14ac:dyDescent="0.3">
      <c r="A22" t="s">
        <v>269</v>
      </c>
      <c r="B22" s="1">
        <v>6.7519428632</v>
      </c>
      <c r="C22" s="1">
        <v>14</v>
      </c>
      <c r="D22" s="1">
        <v>30</v>
      </c>
      <c r="E22" s="1">
        <v>71.9220832094</v>
      </c>
      <c r="F22" s="1">
        <v>8.6099127840000005</v>
      </c>
      <c r="G22" s="1">
        <v>12</v>
      </c>
      <c r="H22" s="1">
        <v>15</v>
      </c>
      <c r="I22" s="1">
        <v>58.930944092000004</v>
      </c>
      <c r="J22">
        <v>57</v>
      </c>
      <c r="K22" s="1">
        <f t="shared" si="0"/>
        <v>62.898559555489996</v>
      </c>
      <c r="L22" s="1">
        <v>0</v>
      </c>
      <c r="M22" s="1">
        <f t="shared" si="1"/>
        <v>62.898559555489996</v>
      </c>
      <c r="N22" t="str">
        <f t="shared" si="2"/>
        <v>AP</v>
      </c>
    </row>
    <row r="23" spans="1:14" x14ac:dyDescent="0.3">
      <c r="A23" t="s">
        <v>270</v>
      </c>
      <c r="B23" s="1">
        <v>9.088600919200001</v>
      </c>
      <c r="C23" s="1">
        <v>8</v>
      </c>
      <c r="D23" s="1">
        <v>20</v>
      </c>
      <c r="E23" s="1">
        <v>58.643599617900001</v>
      </c>
      <c r="F23" s="1">
        <v>8.6690673020000002</v>
      </c>
      <c r="G23" s="1">
        <v>9.6666666666666661</v>
      </c>
      <c r="H23" s="1">
        <v>21</v>
      </c>
      <c r="I23" s="1">
        <v>61.307072932666671</v>
      </c>
      <c r="J23">
        <v>88</v>
      </c>
      <c r="K23" s="1">
        <f t="shared" si="0"/>
        <v>68.382735392698336</v>
      </c>
      <c r="L23" s="1">
        <v>0</v>
      </c>
      <c r="M23" s="1">
        <f t="shared" si="1"/>
        <v>68.382735392698336</v>
      </c>
      <c r="N23" t="str">
        <f t="shared" si="2"/>
        <v>AP</v>
      </c>
    </row>
    <row r="24" spans="1:14" x14ac:dyDescent="0.3">
      <c r="A24" t="s">
        <v>271</v>
      </c>
      <c r="B24" s="1">
        <v>8.5</v>
      </c>
      <c r="C24" s="1">
        <v>10.333333333333334</v>
      </c>
      <c r="D24" s="1">
        <v>21</v>
      </c>
      <c r="E24" s="1">
        <v>61.283333333333331</v>
      </c>
      <c r="F24" s="1">
        <v>10.369736208999999</v>
      </c>
      <c r="G24" s="1">
        <v>11</v>
      </c>
      <c r="H24" s="1">
        <v>25</v>
      </c>
      <c r="I24" s="1">
        <v>67.777331945</v>
      </c>
      <c r="J24">
        <v>62</v>
      </c>
      <c r="K24" s="1">
        <f t="shared" si="0"/>
        <v>63.771232847416655</v>
      </c>
      <c r="L24" s="1">
        <v>0</v>
      </c>
      <c r="M24" s="1">
        <f t="shared" si="1"/>
        <v>63.771232847416655</v>
      </c>
      <c r="N24" t="str">
        <f t="shared" si="2"/>
        <v>AP</v>
      </c>
    </row>
    <row r="25" spans="1:14" x14ac:dyDescent="0.3">
      <c r="A25" t="s">
        <v>272</v>
      </c>
      <c r="B25" s="1">
        <v>7.2871905975000004</v>
      </c>
      <c r="C25" s="1">
        <v>10.666666666666666</v>
      </c>
      <c r="D25" s="1">
        <v>19</v>
      </c>
      <c r="E25" s="1">
        <v>57.02862377026667</v>
      </c>
      <c r="F25" s="1">
        <v>8.4491378790000002</v>
      </c>
      <c r="G25" s="1">
        <v>14.666666666666666</v>
      </c>
      <c r="H25" s="1">
        <v>22</v>
      </c>
      <c r="I25" s="1">
        <v>66.650571445666657</v>
      </c>
      <c r="J25">
        <v>49</v>
      </c>
      <c r="K25" s="1">
        <f t="shared" si="0"/>
        <v>57.987718325576665</v>
      </c>
      <c r="L25" s="1">
        <v>57</v>
      </c>
      <c r="M25" s="1">
        <f t="shared" si="1"/>
        <v>57.987718325576665</v>
      </c>
      <c r="N25" t="str">
        <f t="shared" si="2"/>
        <v>RP</v>
      </c>
    </row>
    <row r="26" spans="1:14" x14ac:dyDescent="0.3">
      <c r="A26" t="s">
        <v>273</v>
      </c>
      <c r="B26" s="1">
        <v>8.1186378609999998</v>
      </c>
      <c r="C26" s="1">
        <v>20</v>
      </c>
      <c r="D26" s="1">
        <v>31</v>
      </c>
      <c r="E26" s="1">
        <v>82.739864732400008</v>
      </c>
      <c r="F26" s="1">
        <v>7.8</v>
      </c>
      <c r="G26" s="1">
        <v>17</v>
      </c>
      <c r="H26" s="1">
        <v>30</v>
      </c>
      <c r="I26" s="1">
        <v>75.891666666666666</v>
      </c>
      <c r="J26">
        <v>45</v>
      </c>
      <c r="K26" s="1">
        <f t="shared" si="0"/>
        <v>69.021035989673322</v>
      </c>
      <c r="L26" s="1">
        <v>0</v>
      </c>
      <c r="M26" s="1">
        <f t="shared" si="1"/>
        <v>69.021035989673322</v>
      </c>
      <c r="N26" t="str">
        <f t="shared" si="2"/>
        <v>AP</v>
      </c>
    </row>
    <row r="27" spans="1:14" x14ac:dyDescent="0.3">
      <c r="A27" t="s">
        <v>274</v>
      </c>
      <c r="B27" s="1">
        <v>8.7208159920000003</v>
      </c>
      <c r="C27" s="1">
        <v>12</v>
      </c>
      <c r="D27" s="1">
        <v>21</v>
      </c>
      <c r="E27" s="1">
        <v>64.906577863999999</v>
      </c>
      <c r="F27" s="1">
        <v>9.8000000000000007</v>
      </c>
      <c r="G27" s="1">
        <v>11.666666666666666</v>
      </c>
      <c r="H27" s="1">
        <v>23</v>
      </c>
      <c r="I27" s="1">
        <v>66.599999999999994</v>
      </c>
      <c r="J27">
        <v>77</v>
      </c>
      <c r="K27" s="1">
        <f t="shared" si="0"/>
        <v>69.1273022524</v>
      </c>
      <c r="L27" s="1">
        <v>0</v>
      </c>
      <c r="M27" s="1">
        <f t="shared" si="1"/>
        <v>69.1273022524</v>
      </c>
      <c r="N27" t="str">
        <f t="shared" si="2"/>
        <v>AP</v>
      </c>
    </row>
    <row r="28" spans="1:14" x14ac:dyDescent="0.3">
      <c r="A28" t="s">
        <v>275</v>
      </c>
      <c r="B28" s="1">
        <v>8.7146377672600011</v>
      </c>
      <c r="C28" s="1">
        <v>12</v>
      </c>
      <c r="D28" s="1">
        <v>19</v>
      </c>
      <c r="E28" s="1">
        <v>62.970193693760002</v>
      </c>
      <c r="F28" s="1">
        <v>9.086882245</v>
      </c>
      <c r="G28" s="1">
        <v>10.666666666666666</v>
      </c>
      <c r="H28" s="1">
        <v>16</v>
      </c>
      <c r="I28" s="1">
        <v>60.368279557666668</v>
      </c>
      <c r="J28">
        <v>81</v>
      </c>
      <c r="K28" s="1">
        <f t="shared" si="0"/>
        <v>67.46846563799933</v>
      </c>
      <c r="L28" s="1">
        <v>0</v>
      </c>
      <c r="M28" s="1">
        <f t="shared" si="1"/>
        <v>67.46846563799933</v>
      </c>
      <c r="N28" t="str">
        <f t="shared" si="2"/>
        <v>AP</v>
      </c>
    </row>
    <row r="29" spans="1:14" x14ac:dyDescent="0.3">
      <c r="A29" t="s">
        <v>276</v>
      </c>
      <c r="B29" s="1">
        <v>8.8000000000000007</v>
      </c>
      <c r="C29" s="1">
        <v>8.6666666666666661</v>
      </c>
      <c r="D29" s="1">
        <v>20</v>
      </c>
      <c r="E29" s="1">
        <v>57.733666666666664</v>
      </c>
      <c r="F29" s="1">
        <v>7.9322128269999999</v>
      </c>
      <c r="G29" s="1">
        <v>10</v>
      </c>
      <c r="H29" s="1">
        <v>22</v>
      </c>
      <c r="I29" s="1">
        <v>58.641567413000004</v>
      </c>
      <c r="J29">
        <v>71</v>
      </c>
      <c r="K29" s="1">
        <f t="shared" si="0"/>
        <v>62.031331927883329</v>
      </c>
      <c r="L29" s="1">
        <v>0</v>
      </c>
      <c r="M29" s="1">
        <f t="shared" si="1"/>
        <v>62.031331927883329</v>
      </c>
      <c r="N29" t="str">
        <f t="shared" si="2"/>
        <v>AP</v>
      </c>
    </row>
    <row r="30" spans="1:14" x14ac:dyDescent="0.3">
      <c r="A30" t="s">
        <v>277</v>
      </c>
      <c r="B30" s="1">
        <v>7.6</v>
      </c>
      <c r="C30" s="1">
        <v>12.333333333333334</v>
      </c>
      <c r="D30" s="1">
        <v>26</v>
      </c>
      <c r="E30" s="1">
        <v>66.458333333333329</v>
      </c>
      <c r="F30" s="1">
        <v>8.1575763949999995</v>
      </c>
      <c r="G30" s="1">
        <v>10</v>
      </c>
      <c r="H30" s="1">
        <v>26</v>
      </c>
      <c r="I30" s="1">
        <v>64.289086259666661</v>
      </c>
      <c r="J30">
        <v>64</v>
      </c>
      <c r="K30" s="1">
        <f t="shared" si="0"/>
        <v>64.961596857549992</v>
      </c>
      <c r="L30" s="1">
        <v>0</v>
      </c>
      <c r="M30" s="1">
        <f t="shared" si="1"/>
        <v>64.961596857549992</v>
      </c>
      <c r="N30" t="str">
        <f t="shared" si="2"/>
        <v>AP</v>
      </c>
    </row>
    <row r="31" spans="1:14" x14ac:dyDescent="0.3">
      <c r="A31" t="s">
        <v>278</v>
      </c>
      <c r="B31" s="1">
        <v>8.4</v>
      </c>
      <c r="C31" s="1">
        <v>10</v>
      </c>
      <c r="D31" s="1">
        <v>15</v>
      </c>
      <c r="E31" s="1">
        <v>51.3</v>
      </c>
      <c r="F31" s="1">
        <v>3.4</v>
      </c>
      <c r="G31" s="1">
        <v>7.666666666666667</v>
      </c>
      <c r="H31" s="1">
        <v>0</v>
      </c>
      <c r="I31" s="1">
        <v>24.733333333333334</v>
      </c>
      <c r="J31">
        <v>42</v>
      </c>
      <c r="K31" s="1">
        <f t="shared" si="0"/>
        <v>39.211666666666666</v>
      </c>
      <c r="L31" s="1">
        <v>0</v>
      </c>
      <c r="M31" s="1">
        <f t="shared" si="1"/>
        <v>39.211666666666666</v>
      </c>
      <c r="N31" t="str">
        <f t="shared" si="2"/>
        <v>RP</v>
      </c>
    </row>
    <row r="32" spans="1:14" x14ac:dyDescent="0.3">
      <c r="A32" t="s">
        <v>279</v>
      </c>
      <c r="B32" s="1">
        <v>9.1979112867000019</v>
      </c>
      <c r="C32" s="1">
        <v>16</v>
      </c>
      <c r="D32" s="1">
        <v>26</v>
      </c>
      <c r="E32" s="1">
        <v>72.623868011400006</v>
      </c>
      <c r="F32" s="1">
        <v>9.5</v>
      </c>
      <c r="G32" s="1">
        <v>16.333333333333332</v>
      </c>
      <c r="H32" s="1">
        <v>17</v>
      </c>
      <c r="I32" s="1">
        <v>68.133333333333326</v>
      </c>
      <c r="J32">
        <v>58</v>
      </c>
      <c r="K32" s="1">
        <f t="shared" si="0"/>
        <v>66.665020470656657</v>
      </c>
      <c r="L32" s="1">
        <v>0</v>
      </c>
      <c r="M32" s="1">
        <f t="shared" si="1"/>
        <v>66.665020470656657</v>
      </c>
      <c r="N32" t="str">
        <f t="shared" si="2"/>
        <v>AP</v>
      </c>
    </row>
    <row r="33" spans="1:14" x14ac:dyDescent="0.3">
      <c r="A33" t="s">
        <v>280</v>
      </c>
      <c r="B33" s="1">
        <v>7.2407734399999999</v>
      </c>
      <c r="C33" s="1">
        <v>9.6666666666666661</v>
      </c>
      <c r="D33" s="1">
        <v>11</v>
      </c>
      <c r="E33" s="1">
        <v>44.540173141666664</v>
      </c>
      <c r="F33" s="1">
        <v>8.2811129800000014</v>
      </c>
      <c r="G33" s="1">
        <v>6.666666666666667</v>
      </c>
      <c r="H33" s="1">
        <v>0</v>
      </c>
      <c r="I33" s="1">
        <v>29.703611972000001</v>
      </c>
      <c r="J33">
        <v>44</v>
      </c>
      <c r="K33" s="1">
        <f t="shared" si="0"/>
        <v>39.18532478978333</v>
      </c>
      <c r="L33" s="1">
        <v>0</v>
      </c>
      <c r="M33" s="1">
        <f t="shared" si="1"/>
        <v>39.18532478978333</v>
      </c>
      <c r="N33" t="str">
        <f t="shared" si="2"/>
        <v>RP</v>
      </c>
    </row>
    <row r="34" spans="1:14" x14ac:dyDescent="0.3">
      <c r="A34" t="s">
        <v>281</v>
      </c>
      <c r="B34" s="1">
        <v>6.9435335559000002</v>
      </c>
      <c r="C34" s="1">
        <v>8.6666666666666661</v>
      </c>
      <c r="D34" s="1">
        <v>15</v>
      </c>
      <c r="E34" s="1">
        <v>54.660279833466667</v>
      </c>
      <c r="F34" s="1">
        <v>10.262831711999999</v>
      </c>
      <c r="G34" s="1">
        <v>12.666666666666666</v>
      </c>
      <c r="H34" s="1">
        <v>4</v>
      </c>
      <c r="I34" s="1">
        <v>51.98153237799999</v>
      </c>
      <c r="J34">
        <v>69</v>
      </c>
      <c r="K34" s="1">
        <f t="shared" si="0"/>
        <v>58.024634274013323</v>
      </c>
      <c r="L34" s="1">
        <v>59</v>
      </c>
      <c r="M34" s="1">
        <f t="shared" si="1"/>
        <v>60.48109794171333</v>
      </c>
      <c r="N34" t="str">
        <f t="shared" si="2"/>
        <v>AP</v>
      </c>
    </row>
    <row r="35" spans="1:14" x14ac:dyDescent="0.3">
      <c r="A35" t="s">
        <v>282</v>
      </c>
      <c r="B35" s="1">
        <v>6.2335658069999997</v>
      </c>
      <c r="C35" s="1">
        <v>11.333333333333334</v>
      </c>
      <c r="D35" s="1">
        <v>16</v>
      </c>
      <c r="E35" s="1">
        <v>52.125775106333336</v>
      </c>
      <c r="F35" s="1">
        <v>9.4589859180000015</v>
      </c>
      <c r="G35" s="1">
        <v>12</v>
      </c>
      <c r="H35" s="1">
        <v>18</v>
      </c>
      <c r="I35" s="1">
        <v>62.697033778000005</v>
      </c>
      <c r="J35">
        <v>82</v>
      </c>
      <c r="K35" s="1">
        <f t="shared" si="0"/>
        <v>64.787983109516659</v>
      </c>
      <c r="L35" s="1">
        <v>0</v>
      </c>
      <c r="M35" s="1">
        <f t="shared" si="1"/>
        <v>64.787983109516659</v>
      </c>
      <c r="N35" t="str">
        <f t="shared" si="2"/>
        <v>AP</v>
      </c>
    </row>
    <row r="36" spans="1:14" x14ac:dyDescent="0.3">
      <c r="A36" t="s">
        <v>283</v>
      </c>
      <c r="B36" s="1">
        <v>7.4466881614000009</v>
      </c>
      <c r="C36" s="1">
        <v>12.666666666666666</v>
      </c>
      <c r="D36" s="1">
        <v>21</v>
      </c>
      <c r="E36" s="1">
        <v>66.387172596766675</v>
      </c>
      <c r="F36" s="1">
        <v>10.049022718</v>
      </c>
      <c r="G36" s="1">
        <v>11</v>
      </c>
      <c r="H36" s="1">
        <v>14</v>
      </c>
      <c r="I36" s="1">
        <v>62.213753363999999</v>
      </c>
      <c r="J36">
        <v>61</v>
      </c>
      <c r="K36" s="1">
        <f t="shared" si="0"/>
        <v>63.310324086268338</v>
      </c>
      <c r="L36" s="1">
        <v>0</v>
      </c>
      <c r="M36" s="1">
        <f t="shared" si="1"/>
        <v>63.310324086268338</v>
      </c>
      <c r="N36" t="str">
        <f t="shared" si="2"/>
        <v>AP</v>
      </c>
    </row>
    <row r="37" spans="1:14" x14ac:dyDescent="0.3">
      <c r="A37" t="s">
        <v>284</v>
      </c>
      <c r="B37" s="1">
        <v>4.4000000000000004</v>
      </c>
      <c r="C37" s="1">
        <v>4.666666666666667</v>
      </c>
      <c r="D37" s="1">
        <v>11</v>
      </c>
      <c r="E37" s="1">
        <v>37.766666666666666</v>
      </c>
      <c r="F37" s="1">
        <v>4.25</v>
      </c>
      <c r="G37" s="1">
        <v>3.6666666666666665</v>
      </c>
      <c r="H37" s="1">
        <v>0</v>
      </c>
      <c r="I37" s="1">
        <v>22.083333333333336</v>
      </c>
      <c r="J37">
        <v>38</v>
      </c>
      <c r="K37" s="1">
        <f t="shared" si="0"/>
        <v>32.347499999999997</v>
      </c>
      <c r="L37" s="1">
        <v>0</v>
      </c>
      <c r="M37" s="1">
        <f t="shared" si="1"/>
        <v>32.347499999999997</v>
      </c>
      <c r="N37" t="str">
        <f t="shared" si="2"/>
        <v>RP</v>
      </c>
    </row>
    <row r="38" spans="1:14" x14ac:dyDescent="0.3">
      <c r="A38" t="s">
        <v>285</v>
      </c>
      <c r="B38" s="1">
        <v>9</v>
      </c>
      <c r="C38" s="1">
        <v>14</v>
      </c>
      <c r="D38" s="1">
        <v>30</v>
      </c>
      <c r="E38" s="1">
        <v>76.400000000000006</v>
      </c>
      <c r="F38" s="1">
        <v>9.6</v>
      </c>
      <c r="G38" s="1">
        <v>11</v>
      </c>
      <c r="H38" s="1">
        <v>30</v>
      </c>
      <c r="I38" s="1">
        <v>73.875</v>
      </c>
      <c r="J38">
        <v>59</v>
      </c>
      <c r="K38" s="1">
        <f t="shared" si="0"/>
        <v>70.296250000000001</v>
      </c>
      <c r="L38" s="1">
        <v>0</v>
      </c>
      <c r="M38" s="1">
        <f t="shared" si="1"/>
        <v>70.296250000000001</v>
      </c>
      <c r="N38" t="str">
        <f t="shared" si="2"/>
        <v>AP</v>
      </c>
    </row>
    <row r="39" spans="1:14" x14ac:dyDescent="0.3">
      <c r="A39" t="s">
        <v>286</v>
      </c>
      <c r="B39" s="1">
        <v>9.2420727671999998</v>
      </c>
      <c r="C39" s="1">
        <v>4.666666666666667</v>
      </c>
      <c r="D39" s="1">
        <v>13</v>
      </c>
      <c r="E39" s="1">
        <v>45.263128483466666</v>
      </c>
      <c r="F39" s="1">
        <v>9.7641144959999995</v>
      </c>
      <c r="G39" s="1">
        <v>6.333333333333333</v>
      </c>
      <c r="H39" s="1">
        <v>6</v>
      </c>
      <c r="I39" s="1">
        <v>47.085495689333335</v>
      </c>
      <c r="J39">
        <v>75</v>
      </c>
      <c r="K39" s="1">
        <f t="shared" si="0"/>
        <v>54.822018460479995</v>
      </c>
      <c r="L39" s="1">
        <v>42</v>
      </c>
      <c r="M39" s="1">
        <f t="shared" si="1"/>
        <v>54.822018460479995</v>
      </c>
      <c r="N39" t="str">
        <f t="shared" si="2"/>
        <v>RP</v>
      </c>
    </row>
    <row r="40" spans="1:14" x14ac:dyDescent="0.3">
      <c r="A40" t="s">
        <v>287</v>
      </c>
      <c r="B40" s="1">
        <v>8.6999999999999993</v>
      </c>
      <c r="C40" s="1">
        <v>8</v>
      </c>
      <c r="D40" s="1">
        <v>18</v>
      </c>
      <c r="E40" s="1">
        <v>59.167000000000002</v>
      </c>
      <c r="F40" s="1">
        <v>9.6999999999999993</v>
      </c>
      <c r="G40" s="1">
        <v>8</v>
      </c>
      <c r="H40" s="1">
        <v>10</v>
      </c>
      <c r="I40" s="1">
        <v>52.65</v>
      </c>
      <c r="J40">
        <v>89</v>
      </c>
      <c r="K40" s="1">
        <f t="shared" si="0"/>
        <v>65.835949999999997</v>
      </c>
      <c r="L40" s="1">
        <v>45</v>
      </c>
      <c r="M40" s="1">
        <f t="shared" si="1"/>
        <v>65.835949999999997</v>
      </c>
      <c r="N40" t="str">
        <f t="shared" si="2"/>
        <v>AP</v>
      </c>
    </row>
    <row r="41" spans="1:14" x14ac:dyDescent="0.3">
      <c r="A41" t="s">
        <v>288</v>
      </c>
      <c r="B41" s="1">
        <v>8.4626353561999998</v>
      </c>
      <c r="C41" s="1">
        <v>13</v>
      </c>
      <c r="D41" s="1">
        <v>17</v>
      </c>
      <c r="E41" s="1">
        <v>56.424158286800001</v>
      </c>
      <c r="F41" s="1">
        <v>9.7222979519999999</v>
      </c>
      <c r="G41" s="1">
        <v>8</v>
      </c>
      <c r="H41" s="1">
        <v>9</v>
      </c>
      <c r="I41" s="1">
        <v>49.107335274</v>
      </c>
      <c r="J41">
        <v>47</v>
      </c>
      <c r="K41" s="1">
        <f t="shared" si="0"/>
        <v>51.036022746279997</v>
      </c>
      <c r="L41" s="1">
        <v>0</v>
      </c>
      <c r="M41" s="1">
        <f t="shared" si="1"/>
        <v>51.036022746279997</v>
      </c>
      <c r="N41" t="str">
        <f t="shared" si="2"/>
        <v>RP</v>
      </c>
    </row>
    <row r="42" spans="1:14" x14ac:dyDescent="0.3">
      <c r="A42" t="s">
        <v>289</v>
      </c>
      <c r="B42" s="1">
        <v>8.3000000000000007</v>
      </c>
      <c r="C42" s="1">
        <v>9</v>
      </c>
      <c r="D42" s="1">
        <v>15</v>
      </c>
      <c r="E42" s="1">
        <v>53.85</v>
      </c>
      <c r="F42" s="1">
        <v>9.5585272400000001</v>
      </c>
      <c r="G42" s="1">
        <v>12</v>
      </c>
      <c r="H42" s="1">
        <v>12</v>
      </c>
      <c r="I42" s="1">
        <v>56.173800319999998</v>
      </c>
      <c r="J42">
        <v>57</v>
      </c>
      <c r="K42" s="1">
        <f t="shared" si="0"/>
        <v>55.60833011199999</v>
      </c>
      <c r="L42" s="1">
        <v>57</v>
      </c>
      <c r="M42" s="1">
        <f t="shared" si="1"/>
        <v>56.710830111999996</v>
      </c>
      <c r="N42" t="str">
        <f t="shared" si="2"/>
        <v>RP</v>
      </c>
    </row>
    <row r="43" spans="1:14" x14ac:dyDescent="0.3">
      <c r="A43" t="s">
        <v>290</v>
      </c>
      <c r="B43" s="1">
        <v>9.1405115279999993</v>
      </c>
      <c r="C43" s="1">
        <v>9</v>
      </c>
      <c r="D43" s="1">
        <v>27</v>
      </c>
      <c r="E43" s="1">
        <v>67.695074208799994</v>
      </c>
      <c r="F43" s="1">
        <v>9.5606954440000003</v>
      </c>
      <c r="G43" s="1">
        <v>7.666666666666667</v>
      </c>
      <c r="H43" s="1">
        <v>27</v>
      </c>
      <c r="I43" s="1">
        <v>68.715409970666656</v>
      </c>
      <c r="J43">
        <v>74</v>
      </c>
      <c r="K43" s="1">
        <f t="shared" si="0"/>
        <v>69.943669462813332</v>
      </c>
      <c r="L43" s="1">
        <v>0</v>
      </c>
      <c r="M43" s="1">
        <f t="shared" si="1"/>
        <v>69.943669462813332</v>
      </c>
      <c r="N43" t="str">
        <f t="shared" si="2"/>
        <v>AP</v>
      </c>
    </row>
    <row r="44" spans="1:14" x14ac:dyDescent="0.3">
      <c r="A44" t="s">
        <v>291</v>
      </c>
      <c r="B44" s="1">
        <v>9.2639598640000003</v>
      </c>
      <c r="C44" s="1">
        <v>7.333333333333333</v>
      </c>
      <c r="D44" s="1">
        <v>18</v>
      </c>
      <c r="E44" s="1">
        <v>56.879844532433331</v>
      </c>
      <c r="F44" s="1">
        <v>9.8026484069999995</v>
      </c>
      <c r="G44" s="1">
        <v>4</v>
      </c>
      <c r="H44" s="1">
        <v>22</v>
      </c>
      <c r="I44" s="1">
        <v>56.339423349</v>
      </c>
      <c r="J44">
        <v>41</v>
      </c>
      <c r="K44" s="1">
        <f t="shared" si="0"/>
        <v>51.926743758501658</v>
      </c>
      <c r="L44" s="1">
        <v>0</v>
      </c>
      <c r="M44" s="1">
        <f t="shared" si="1"/>
        <v>51.926743758501658</v>
      </c>
      <c r="N44" t="str">
        <f t="shared" si="2"/>
        <v>RP</v>
      </c>
    </row>
    <row r="45" spans="1:14" x14ac:dyDescent="0.3">
      <c r="A45" t="s">
        <v>292</v>
      </c>
      <c r="B45" s="1">
        <v>8.6</v>
      </c>
      <c r="C45" s="1">
        <v>16.333333333333332</v>
      </c>
      <c r="D45" s="1">
        <v>24</v>
      </c>
      <c r="E45" s="1">
        <v>70.483333333333334</v>
      </c>
      <c r="F45" s="1">
        <v>8.7651694379999991</v>
      </c>
      <c r="G45" s="1">
        <v>15.333333333333334</v>
      </c>
      <c r="H45" s="1">
        <v>26</v>
      </c>
      <c r="I45" s="1">
        <v>72.418915727333342</v>
      </c>
      <c r="J45">
        <v>81</v>
      </c>
      <c r="K45" s="1">
        <f t="shared" si="0"/>
        <v>74.315787171233339</v>
      </c>
      <c r="L45" s="1">
        <v>0</v>
      </c>
      <c r="M45" s="1">
        <f t="shared" si="1"/>
        <v>74.315787171233339</v>
      </c>
      <c r="N45" t="str">
        <f t="shared" si="2"/>
        <v>AP</v>
      </c>
    </row>
    <row r="46" spans="1:14" x14ac:dyDescent="0.3">
      <c r="A46" t="s">
        <v>293</v>
      </c>
      <c r="B46" s="1">
        <v>9.4</v>
      </c>
      <c r="C46" s="1">
        <v>18.333333333333332</v>
      </c>
      <c r="D46" s="1">
        <v>32</v>
      </c>
      <c r="E46" s="1">
        <v>83.833333333333329</v>
      </c>
      <c r="F46" s="1">
        <v>10.301288353</v>
      </c>
      <c r="G46" s="1">
        <v>18</v>
      </c>
      <c r="H46" s="1">
        <v>32</v>
      </c>
      <c r="I46" s="1">
        <v>82.121991668999996</v>
      </c>
      <c r="J46">
        <v>85</v>
      </c>
      <c r="K46" s="1">
        <f t="shared" si="0"/>
        <v>83.584363750816664</v>
      </c>
      <c r="L46" s="1">
        <v>80</v>
      </c>
      <c r="M46" s="1">
        <f t="shared" si="1"/>
        <v>83.584363750816664</v>
      </c>
      <c r="N46" t="str">
        <f t="shared" si="2"/>
        <v>AP</v>
      </c>
    </row>
    <row r="47" spans="1:14" x14ac:dyDescent="0.3">
      <c r="A47" t="s">
        <v>294</v>
      </c>
      <c r="B47" s="1">
        <v>8.1590849160999994</v>
      </c>
      <c r="C47" s="1">
        <v>7.333333333333333</v>
      </c>
      <c r="D47" s="1">
        <v>6</v>
      </c>
      <c r="E47" s="1">
        <v>37.675868938833332</v>
      </c>
      <c r="F47" s="1">
        <v>3.35</v>
      </c>
      <c r="G47" s="1">
        <v>0</v>
      </c>
      <c r="H47" s="1">
        <v>4</v>
      </c>
      <c r="I47" s="1">
        <v>17.016666666666666</v>
      </c>
      <c r="J47">
        <v>32</v>
      </c>
      <c r="K47" s="1">
        <f t="shared" si="0"/>
        <v>28.742387461924999</v>
      </c>
      <c r="L47" s="1">
        <v>0</v>
      </c>
      <c r="M47" s="1">
        <f t="shared" si="1"/>
        <v>28.742387461924999</v>
      </c>
      <c r="N47" t="str">
        <f t="shared" si="2"/>
        <v>RP</v>
      </c>
    </row>
    <row r="48" spans="1:14" x14ac:dyDescent="0.3">
      <c r="A48" t="s">
        <v>295</v>
      </c>
      <c r="B48" s="1">
        <v>7.7143772082000002</v>
      </c>
      <c r="C48" s="1">
        <v>10.666666666666666</v>
      </c>
      <c r="D48" s="1">
        <v>19</v>
      </c>
      <c r="E48" s="1">
        <v>54.975661977266668</v>
      </c>
      <c r="F48" s="1">
        <v>2.5</v>
      </c>
      <c r="G48" s="1">
        <v>4</v>
      </c>
      <c r="H48" s="1">
        <v>0</v>
      </c>
      <c r="I48" s="1">
        <v>15.116666666666665</v>
      </c>
      <c r="J48">
        <v>44</v>
      </c>
      <c r="K48" s="1">
        <f t="shared" si="0"/>
        <v>37.732315025376664</v>
      </c>
      <c r="L48" s="1">
        <v>0</v>
      </c>
      <c r="M48" s="1">
        <f t="shared" si="1"/>
        <v>37.732315025376664</v>
      </c>
      <c r="N48" t="str">
        <f t="shared" si="2"/>
        <v>RP</v>
      </c>
    </row>
    <row r="49" spans="1:14" x14ac:dyDescent="0.3">
      <c r="A49" t="s">
        <v>296</v>
      </c>
      <c r="B49" s="1">
        <v>8.439928579</v>
      </c>
      <c r="C49" s="1">
        <v>9.3333333333333339</v>
      </c>
      <c r="D49" s="1">
        <v>21</v>
      </c>
      <c r="E49" s="1">
        <v>61.475695535933333</v>
      </c>
      <c r="F49" s="1">
        <v>9.8235718890000001</v>
      </c>
      <c r="G49" s="1">
        <v>13.666666666666666</v>
      </c>
      <c r="H49" s="1">
        <v>8</v>
      </c>
      <c r="I49" s="1">
        <v>56.425275877666664</v>
      </c>
      <c r="J49">
        <v>57</v>
      </c>
      <c r="K49" s="1">
        <f t="shared" si="0"/>
        <v>58.365339994759992</v>
      </c>
      <c r="L49" s="1">
        <v>56</v>
      </c>
      <c r="M49" s="1">
        <f t="shared" si="1"/>
        <v>58.365339994759992</v>
      </c>
      <c r="N49" t="str">
        <f t="shared" si="2"/>
        <v>RP</v>
      </c>
    </row>
    <row r="50" spans="1:14" x14ac:dyDescent="0.3">
      <c r="B50" s="1"/>
      <c r="C50" s="1"/>
      <c r="D50" s="1"/>
      <c r="E50" s="1"/>
      <c r="F50" s="1"/>
      <c r="G50" s="1"/>
      <c r="H50" s="1"/>
      <c r="I50" s="1"/>
    </row>
    <row r="51" spans="1:14" x14ac:dyDescent="0.3">
      <c r="B51" s="1"/>
      <c r="C51" s="1"/>
      <c r="D51" s="1"/>
      <c r="E51" s="1"/>
      <c r="F51" s="1"/>
      <c r="G51" s="1"/>
      <c r="H51" s="1"/>
      <c r="I51" s="1"/>
    </row>
    <row r="52" spans="1:14" x14ac:dyDescent="0.3">
      <c r="B52" s="1"/>
      <c r="C52" s="1"/>
      <c r="D52" s="1"/>
      <c r="E52" s="1"/>
      <c r="F52" s="1"/>
      <c r="G52" s="1"/>
      <c r="H52" s="1"/>
      <c r="I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Pabon O.</dc:creator>
  <cp:lastModifiedBy>Luis Pabon O.</cp:lastModifiedBy>
  <dcterms:created xsi:type="dcterms:W3CDTF">2026-10-04T05:08:35Z</dcterms:created>
  <dcterms:modified xsi:type="dcterms:W3CDTF">2026-10-04T18:39:56Z</dcterms:modified>
</cp:coreProperties>
</file>