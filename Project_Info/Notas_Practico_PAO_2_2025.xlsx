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3.xml"/>
  <Override ContentType="application/vnd.ms-excel.slicer+xml" PartName="/xl/slicers/slicer2.xml"/>
  <Override ContentType="application/vnd.ms-excel.slicer+xml" PartName="/xl/slicers/slicer5.xml"/>
  <Override ContentType="application/vnd.ms-excel.slicer+xml" PartName="/xl/slicers/slicer4.xml"/>
  <Override ContentType="application/vnd.ms-excel.slicer+xml" PartName="/xl/slicers/slicer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101" sheetId="1" r:id="rId5"/>
    <sheet state="visible" name="P102" sheetId="2" r:id="rId6"/>
    <sheet state="visible" name="P103" sheetId="3" r:id="rId7"/>
    <sheet state="visible" name="P104" sheetId="4" r:id="rId8"/>
    <sheet state="visible" name="P105" sheetId="5" r:id="rId9"/>
    <sheet state="visible" name="P106" sheetId="6" r:id="rId10"/>
  </sheets>
  <definedNames>
    <definedName name="SegmentaciónDeDatos_Grupo2">#REF!</definedName>
    <definedName hidden="1" localSheetId="0" name="Z_41EAD126_16FB_4A8D_894A_CEA6439A4201_.wvu.FilterData">'P101'!$A$2:$AR$55</definedName>
    <definedName hidden="1" localSheetId="1" name="Z_41EAD126_16FB_4A8D_894A_CEA6439A4201_.wvu.FilterData">'P102'!$A$2:$AR$47</definedName>
    <definedName hidden="1" localSheetId="2" name="Z_41EAD126_16FB_4A8D_894A_CEA6439A4201_.wvu.FilterData">'P103'!$A$2:$AR$52</definedName>
    <definedName hidden="1" localSheetId="3" name="Z_41EAD126_16FB_4A8D_894A_CEA6439A4201_.wvu.FilterData">'P104'!$A$2:$AR$54</definedName>
    <definedName hidden="1" localSheetId="4" name="Z_41EAD126_16FB_4A8D_894A_CEA6439A4201_.wvu.FilterData">'P105'!$A$2:$AR$53</definedName>
    <definedName hidden="1" localSheetId="5" name="Z_41EAD126_16FB_4A8D_894A_CEA6439A4201_.wvu.FilterData">'P106'!$A$2:$AR$53</definedName>
    <definedName name="SlicerCache_Table_1_Col_4">#N/A</definedName>
    <definedName name="SlicerCache_Table_2_Col_4">#N/A</definedName>
    <definedName name="SlicerCache_Table_3_Col_4">#N/A</definedName>
    <definedName name="SlicerCache_Table_4_Col_4">#N/A</definedName>
    <definedName name="SlicerCache_Table_5_Col_4">#N/A</definedName>
    <definedName name="SlicerCache_Table_6_Col_4">#N/A</definedName>
  </definedNames>
  <calcPr/>
  <customWorkbookViews>
    <customWorkbookView activeSheetId="0" maximized="1" windowHeight="0" windowWidth="0" guid="{41EAD126-16FB-4A8D-894A-CEA6439A4201}" name="Filtro 1"/>
  </customWorkbookViews>
  <extLst>
    <ext uri="{46BE6895-7355-4a93-B00E-2C351335B9C9}">
      <x15:slicerCaches>
        <x14:slicerCache r:id="rId11"/>
        <x14:slicerCache r:id="rId12"/>
        <x14:slicerCache r:id="rId13"/>
        <x14:slicerCache r:id="rId14"/>
        <x14:slicerCache r:id="rId15"/>
        <x14:slicerCache r:id="rId16"/>
      </x15:slicerCaches>
    </ext>
  </extLst>
</workbook>
</file>

<file path=xl/sharedStrings.xml><?xml version="1.0" encoding="utf-8"?>
<sst xmlns="http://schemas.openxmlformats.org/spreadsheetml/2006/main" count="922" uniqueCount="644">
  <si>
    <t>P101</t>
  </si>
  <si>
    <t>Coevaluaciones</t>
  </si>
  <si>
    <t>Actividades Práctico-Experimental (APE) (30%)</t>
  </si>
  <si>
    <t>AVANCES (15%)</t>
  </si>
  <si>
    <t>VALIDACION INDIVIDUAL (10%)</t>
  </si>
  <si>
    <t>VALIDACION DE 
PROTOTIPO (10%)</t>
  </si>
  <si>
    <t>PROTOTIPO (5%)</t>
  </si>
  <si>
    <t>EXPOSICION Y 
DEFENSA (20%)</t>
  </si>
  <si>
    <t>REPORTE (10%)</t>
  </si>
  <si>
    <t>TOTAL (100%)</t>
  </si>
  <si>
    <t>Correo</t>
  </si>
  <si>
    <t>Número de Matrícula</t>
  </si>
  <si>
    <t>Apellidos y Nombres</t>
  </si>
  <si>
    <t>Grupo</t>
  </si>
  <si>
    <t>Vez</t>
  </si>
  <si>
    <t>WF1 (APE)</t>
  </si>
  <si>
    <t>WF2 (AVANCE)</t>
  </si>
  <si>
    <t>WF3 (FINALES)</t>
  </si>
  <si>
    <t>CL1</t>
  </si>
  <si>
    <t>HT1</t>
  </si>
  <si>
    <t>RPAPE1</t>
  </si>
  <si>
    <t>APE1</t>
  </si>
  <si>
    <t>CL2</t>
  </si>
  <si>
    <t>HT2</t>
  </si>
  <si>
    <t>RPAPE2</t>
  </si>
  <si>
    <t>APE2</t>
  </si>
  <si>
    <t>CL3</t>
  </si>
  <si>
    <t>HT3</t>
  </si>
  <si>
    <t>RPAPE3</t>
  </si>
  <si>
    <t>APE3</t>
  </si>
  <si>
    <t>APE_total</t>
  </si>
  <si>
    <t>AV1</t>
  </si>
  <si>
    <t>AV2</t>
  </si>
  <si>
    <t>AV_total</t>
  </si>
  <si>
    <t>VI1</t>
  </si>
  <si>
    <t>VI2</t>
  </si>
  <si>
    <t>VI3</t>
  </si>
  <si>
    <t>VI_STATUS</t>
  </si>
  <si>
    <t>VI_TOTAL</t>
  </si>
  <si>
    <t>VP1</t>
  </si>
  <si>
    <t>VP2</t>
  </si>
  <si>
    <t>VP_STATUS</t>
  </si>
  <si>
    <t>VP_TOTAL</t>
  </si>
  <si>
    <t>EV1_P</t>
  </si>
  <si>
    <t>EV2_P</t>
  </si>
  <si>
    <t>PROT_TOTAL</t>
  </si>
  <si>
    <t>POSTER</t>
  </si>
  <si>
    <t>JUR_1</t>
  </si>
  <si>
    <t>JUR_2</t>
  </si>
  <si>
    <t>EXP_TOTAL</t>
  </si>
  <si>
    <t>REPORTE</t>
  </si>
  <si>
    <t>EXP</t>
  </si>
  <si>
    <t>PROY</t>
  </si>
  <si>
    <t>AL ACADEMICO</t>
  </si>
  <si>
    <t>correo prueba</t>
  </si>
  <si>
    <t>matrícula prueba</t>
  </si>
  <si>
    <t>Estudiante de Prueba</t>
  </si>
  <si>
    <t>josualme@espol.edu.ec</t>
  </si>
  <si>
    <t>ALMEIDA MACIAS  JOSUE DAVID</t>
  </si>
  <si>
    <t>jojoalva@espol.edu.ec</t>
  </si>
  <si>
    <t>ALVAREZ CORDOVA  JOSHUA JOEL</t>
  </si>
  <si>
    <t>joseanda@espol.edu.ec</t>
  </si>
  <si>
    <t>ANDALUZ CARRASCO  JOSE ISAIAS</t>
  </si>
  <si>
    <t>narboled@espol.edu.ec</t>
  </si>
  <si>
    <t>ARBOLEDA ORDEÃ‘ANA  NESTOR EZEQUIEL</t>
  </si>
  <si>
    <t>albearev@espol.edu.ec</t>
  </si>
  <si>
    <t>AREVALO RODRIGUEZ  CARLOS ALBERTO</t>
  </si>
  <si>
    <t>jelubaca@espol.edu.ec</t>
  </si>
  <si>
    <t>BACA MENOSCAL  JEAN LUIS</t>
  </si>
  <si>
    <t>jpbaca@espol.edu.ec</t>
  </si>
  <si>
    <t>BACA MENOSCAL  JEAN PIERE</t>
  </si>
  <si>
    <t>jubecerr@espol.edu.ec</t>
  </si>
  <si>
    <t>BECERRA POZO  JULIO CESAR</t>
  </si>
  <si>
    <t>micarpio@espol.edu.ec</t>
  </si>
  <si>
    <t>CARPIO NARVAEZ  MIGUEL BENJAMIN</t>
  </si>
  <si>
    <t>adjacast@espol.edu.ec</t>
  </si>
  <si>
    <t>CASTRO MONTIEL  ADRIANA JAMILET</t>
  </si>
  <si>
    <t>wilsdiaz@espol.edu.ec</t>
  </si>
  <si>
    <t>DIAZ MONTERO  WILSON SEBASTIAN</t>
  </si>
  <si>
    <t>davfuert@espol.edu.ec</t>
  </si>
  <si>
    <t>FUERTES CHALEN  DAVID ALEXANDER</t>
  </si>
  <si>
    <t>josgarci@espol.edu.ec</t>
  </si>
  <si>
    <t>GARCIA BRIONES  JOSELYN YAMILETH</t>
  </si>
  <si>
    <t>hengavil@espol.edu.ec</t>
  </si>
  <si>
    <t>GAVILANES PILCO  HENRY DANIEL</t>
  </si>
  <si>
    <t>jusgomez@espol.edu.ec</t>
  </si>
  <si>
    <t>GOMEZ TACURI  JUSTINE IBETH</t>
  </si>
  <si>
    <t>angoestr@espol.edu.ec</t>
  </si>
  <si>
    <t>GORDILLO ESTRADA  ANGIE SOLANGE</t>
  </si>
  <si>
    <t>silvguam@espol.edu.ec</t>
  </si>
  <si>
    <t>GUAMAN CEDEÃ‘O  SILVIA LISSETTE</t>
  </si>
  <si>
    <t>alexhelg@espol.edu.ec</t>
  </si>
  <si>
    <t>HELGUERO VILLON  ALEXIS MARCOS</t>
  </si>
  <si>
    <t>edhernan@espol.edu.ec</t>
  </si>
  <si>
    <t>HERNANDEZ TRIVIÃ‘O  EDWIN JAVIER</t>
  </si>
  <si>
    <t>jelarena@espol.edu.ec</t>
  </si>
  <si>
    <t>LARENA ALCIVAR  JEANPOUL ALEXANDER</t>
  </si>
  <si>
    <t>krisleon@espol.edu.ec</t>
  </si>
  <si>
    <t>LEON VELIZ  KRISTHEL BRIGGITTE</t>
  </si>
  <si>
    <t>xiolitar@espol.edu.ec</t>
  </si>
  <si>
    <t>LITARDO MEDINA  XIOMARA MISHELLE</t>
  </si>
  <si>
    <t>irwiluci@espol.edu.ec</t>
  </si>
  <si>
    <t>LUCIN MUÃ‘IZ  IRWIN AARON</t>
  </si>
  <si>
    <t>rodmacas@espol.edu.ec</t>
  </si>
  <si>
    <t>MACAS CABRERA  RODRIGO STEPHAN</t>
  </si>
  <si>
    <t>jogamanj@espol.edu.ec</t>
  </si>
  <si>
    <t>MANJARRES MOLINA  JOSE GABRIEL</t>
  </si>
  <si>
    <t>ivanmarc@espol.edu.ec</t>
  </si>
  <si>
    <t>MARCILLO ALCIVAR  IVAN JESUS</t>
  </si>
  <si>
    <t>rjmirand@espol.edu.ec</t>
  </si>
  <si>
    <t>MIRANDA SANCHEZ  REBECA JACQUELINE</t>
  </si>
  <si>
    <t>susamora@espol.edu.ec</t>
  </si>
  <si>
    <t>MORA LUGO  SUSAN VALESKA</t>
  </si>
  <si>
    <t>gnordone@espol.edu.ec</t>
  </si>
  <si>
    <t>ORDOÃ‘EZ OLLAGUE  GENESIS NICOLE</t>
  </si>
  <si>
    <t>jopaguay@espol.edu.ec</t>
  </si>
  <si>
    <t>PAGUAY GOMEZ  JOSE DANIEL</t>
  </si>
  <si>
    <t>adriapaz@espol.edu.ec</t>
  </si>
  <si>
    <t>PAZ BRITO  ADRIAN ALEJANDRO</t>
  </si>
  <si>
    <t>jerepazm@espol.edu.ec</t>
  </si>
  <si>
    <t>PAZMIÃ‘O PADILLA  JEREMY ARTURO</t>
  </si>
  <si>
    <t>livperal@espol.edu.ec</t>
  </si>
  <si>
    <t>PERALTA SANCHEZ  LIVINTON STEVEN</t>
  </si>
  <si>
    <t>marplata@espol.edu.ec</t>
  </si>
  <si>
    <t>PEREZ LATA  MARIO ROGELIO</t>
  </si>
  <si>
    <t>ariperez@espol.edu.ec</t>
  </si>
  <si>
    <t>PEREZ LINO  ARIEL ALEJANDRO</t>
  </si>
  <si>
    <t>ceproano@espol.edu.ec</t>
  </si>
  <si>
    <t>PROAÃ‘O GUERRERO  CESAR DAVID</t>
  </si>
  <si>
    <t>rafaquin@espol.edu.ec</t>
  </si>
  <si>
    <t>QUIÃ‘ONEZ ABARCA  RAFAELA ALEJANDRA</t>
  </si>
  <si>
    <t>ferramos@espol.edu.ec</t>
  </si>
  <si>
    <t>RAMOS YAGUAL  FERNANDO JOSE</t>
  </si>
  <si>
    <t>andreyes@espol.edu.ec</t>
  </si>
  <si>
    <t>REYES GALARZA  ANDRE DAVID</t>
  </si>
  <si>
    <t>joscusme@espol.edu.ec</t>
  </si>
  <si>
    <t>RODRIGUEZ CUSME  JOSTIN JONATHAN</t>
  </si>
  <si>
    <t>neyruil@espol.edu.ec</t>
  </si>
  <si>
    <t>RUILOVA ROMERO  NEY GUSTAVO</t>
  </si>
  <si>
    <t>ivanruiz@espol.edu.ec</t>
  </si>
  <si>
    <t>RUIZ MEDINA  IVAN HERNANDO</t>
  </si>
  <si>
    <t>masaltos@espol.edu.ec</t>
  </si>
  <si>
    <t>SALTOS MOREIRA  MATEO JOAN</t>
  </si>
  <si>
    <t>hensigue@espol.edu.ec</t>
  </si>
  <si>
    <t>SIGUENZA GARCIA  HENRY ROBERTO</t>
  </si>
  <si>
    <t>axeltoma@espol.edu.ec</t>
  </si>
  <si>
    <t>TOMALA ORELLANA  AXEL</t>
  </si>
  <si>
    <t>hertrejo@espol.edu.ec</t>
  </si>
  <si>
    <t>TREJO CRUZ  HERBY RONNY</t>
  </si>
  <si>
    <t>bratubay@espol.edu.ec</t>
  </si>
  <si>
    <t>TUBAY VILLON  BRADDYCK ABRAHAM</t>
  </si>
  <si>
    <t>dumulloa@espol.edu.ec</t>
  </si>
  <si>
    <t>ULLOA TORRES  DUMMAR TOMAS</t>
  </si>
  <si>
    <t>jusvchan@espol.edu.ec</t>
  </si>
  <si>
    <t>VARGAS CHANCAY  JUSTHYN ALEJANDRO</t>
  </si>
  <si>
    <t>xavivarg@espol.edu.ec</t>
  </si>
  <si>
    <t>VARGAS TACURI  XAVIER ESTEBAN</t>
  </si>
  <si>
    <t>chrisyuz@espol.edu.ec</t>
  </si>
  <si>
    <t>YUZ ZAMBRANO  CHRISTHIAN ALFREDO</t>
  </si>
  <si>
    <t>no en caratula</t>
  </si>
  <si>
    <t>º</t>
  </si>
  <si>
    <t>P102</t>
  </si>
  <si>
    <t>VALIDACION 
INDIVIDUAL (10%)</t>
  </si>
  <si>
    <t>prueba</t>
  </si>
  <si>
    <t>ESTUDIANTE DE PRUEBA</t>
  </si>
  <si>
    <t>eriandra@espol.edu.ec</t>
  </si>
  <si>
    <t>ANDRADE HOLGUIN ERICK ARIEL</t>
  </si>
  <si>
    <t>joseavil@espol.edu.ec</t>
  </si>
  <si>
    <t>AVILA ZAMBRANO JOSE ANDRES</t>
  </si>
  <si>
    <t>azburneo@espol.edu.ec</t>
  </si>
  <si>
    <t>BURNEO FARAH AZAEL XAVIER</t>
  </si>
  <si>
    <t>isacabal@espol.edu.ec</t>
  </si>
  <si>
    <t>CABAL RUBIO ISAAC SEBASTIAN</t>
  </si>
  <si>
    <t>juancere@espol.edu.ec</t>
  </si>
  <si>
    <t>CEREZO CERVANTES JUAN SEBASTIAN</t>
  </si>
  <si>
    <t>logacisn@espol.edu.ec</t>
  </si>
  <si>
    <t>CISNEROS ESPIN LOGAN MISAEL</t>
  </si>
  <si>
    <t>maconsue@espol.edu.ec</t>
  </si>
  <si>
    <t>CONSUEGRA ABAD MARIO ALEXANDER</t>
  </si>
  <si>
    <t>ancuesta@espol.edu.ec</t>
  </si>
  <si>
    <t>CUESTA YAGUAL ANDERSON VICTOR</t>
  </si>
  <si>
    <t>juanenca@espol.edu.ec</t>
  </si>
  <si>
    <t>ENCARNACION GILER JUAN JOSE</t>
  </si>
  <si>
    <t>diespino@espol.edu.ec</t>
  </si>
  <si>
    <t>ESPINOZA JIMENEZ DIEGO ANDRES</t>
  </si>
  <si>
    <t>jdfarino@espol.edu.ec</t>
  </si>
  <si>
    <t>FARIÑO SANCHEZ JEAN DAVID</t>
  </si>
  <si>
    <t>migugala@espol.edu.ec</t>
  </si>
  <si>
    <t>GALARZA MORA MIGUEL ANGEL</t>
  </si>
  <si>
    <t>yodgonza@espol.edu.ec</t>
  </si>
  <si>
    <t>GONZALEZ SANCAN YODER ARIEL</t>
  </si>
  <si>
    <t>rhasague@espol.edu.ec</t>
  </si>
  <si>
    <t>GUERRA SALGUERO RHANDOL SAUL</t>
  </si>
  <si>
    <t>ghidrovo@espol.edu.ec</t>
  </si>
  <si>
    <t>HIDROVO ZAMBRANO GENESIS ROSALINDA</t>
  </si>
  <si>
    <t>jermorei@espol.edu.ec</t>
  </si>
  <si>
    <t>LEON MOREIRA JEREMY ALEXANDER</t>
  </si>
  <si>
    <t>flindao@espol.edu.ec</t>
  </si>
  <si>
    <t>LINDAO MEJIA FERNANDO ANDRE</t>
  </si>
  <si>
    <t>salituma@espol.edu.ec</t>
  </si>
  <si>
    <t>LITUMA OLVERA SANTIAGO ANDRES</t>
  </si>
  <si>
    <t>crilucas@espol.edu.ec</t>
  </si>
  <si>
    <t>LUCAS CHAVEZ CRISTHIAN ERWIN</t>
  </si>
  <si>
    <t>dlupera@espol.edu.ec</t>
  </si>
  <si>
    <t>LUPERA BRIONES DERICK ALEXANDER</t>
  </si>
  <si>
    <t>bjmacas@espol.edu.ec</t>
  </si>
  <si>
    <t>MACAS GUSQUI BRYAN JOEL</t>
  </si>
  <si>
    <t>maumoran@espol.edu.ec</t>
  </si>
  <si>
    <t>MORAN AGUAYO MAURO ALEJANDRO</t>
  </si>
  <si>
    <t>samucarp@espol.edu.ec</t>
  </si>
  <si>
    <t>MURILLO CARPIO SAMUEL ANDRES</t>
  </si>
  <si>
    <t>johnieto@espol.edu.ec</t>
  </si>
  <si>
    <t>NIETO LEAL JOHN ANTHONY</t>
  </si>
  <si>
    <t>rommleon@espol.edu.ec</t>
  </si>
  <si>
    <t>OLVERA LEON ROMMEL ALDAIR</t>
  </si>
  <si>
    <t>luisorti@espol.edu.ec</t>
  </si>
  <si>
    <t>ORTIZ CONFORME LUIS MARIO</t>
  </si>
  <si>
    <t>axepilay@espol.edu.ec</t>
  </si>
  <si>
    <t>PILAY PINCAY AXEL DARIO</t>
  </si>
  <si>
    <t>rapina@espol.edu.ec</t>
  </si>
  <si>
    <t>PIÑA SALAS RICARDO ANDRES</t>
  </si>
  <si>
    <t>anquichi@espol.edu.ec</t>
  </si>
  <si>
    <t>QUICHIMBO SARMIENTO ANDRES JAVIER</t>
  </si>
  <si>
    <t>ronreyes@espol.edu.ec</t>
  </si>
  <si>
    <t>REYES ALCIVAR RONNY LEO</t>
  </si>
  <si>
    <t>reireyes@espol.edu.ec</t>
  </si>
  <si>
    <t>REYES POSLIGUA REINALDO RENE</t>
  </si>
  <si>
    <t>sriera@espol.edu.ec</t>
  </si>
  <si>
    <t>RIERA BERMEO SEBAATIAN RIERA</t>
  </si>
  <si>
    <t>ericrive@espol.edu.ec</t>
  </si>
  <si>
    <t>RIVERA YUMBO ERICK XAVIER</t>
  </si>
  <si>
    <t>geraruiz@espol.edu.ec</t>
  </si>
  <si>
    <t>RUIZ SANCHEZ GERALD JOSE</t>
  </si>
  <si>
    <t>elsaguay@espol.edu.ec</t>
  </si>
  <si>
    <t>SAGUAY CAMACHO ELKIN RICARDO</t>
  </si>
  <si>
    <t>josisego@espol.edu.ec</t>
  </si>
  <si>
    <t>SEGOVIA BERMEJO JOSUE ISRAEL</t>
  </si>
  <si>
    <t>edisuare@espol.edu.ec</t>
  </si>
  <si>
    <t>SUAREZ CHOEZ EDISON ENRIQUE</t>
  </si>
  <si>
    <t>vieltorr@espol.edu.ec</t>
  </si>
  <si>
    <t>TORRES TOALA VICTORIA ELIZABETH</t>
  </si>
  <si>
    <t>ellvalle@espol.edu.ec</t>
  </si>
  <si>
    <t>VALLEJO ARCE ELLEN JOHANNA</t>
  </si>
  <si>
    <t>angvvill@espol.edu.ec</t>
  </si>
  <si>
    <t>VILLAMAR CEDEÑO ANGELO VICTOR</t>
  </si>
  <si>
    <t>adyancha@espol.edu.ec</t>
  </si>
  <si>
    <t>YANCHA BASTIDAS ADRIANA NAOMI</t>
  </si>
  <si>
    <t>adrizuna@espol.edu.ec</t>
  </si>
  <si>
    <t>ZUÑA ACOSTA ADRIEL GEOVANNY</t>
  </si>
  <si>
    <t xml:space="preserve"> </t>
  </si>
  <si>
    <t>P103</t>
  </si>
  <si>
    <t>VALIDACION DE PROTOTIPO (10%)</t>
  </si>
  <si>
    <t>EXPOSICION Y DEFENSA (20%)</t>
  </si>
  <si>
    <t>WF3 (Reporte)</t>
  </si>
  <si>
    <t>agacwash@espol.edu.ec</t>
  </si>
  <si>
    <t>ACOSTA WASHBRUM AGUSTIN LEONIDAS</t>
  </si>
  <si>
    <t>davipadi@espol.edu.ec</t>
  </si>
  <si>
    <t>ALBAN PADILLA DAVID JOSUE</t>
  </si>
  <si>
    <t>jjalciva@espol.edu.ec</t>
  </si>
  <si>
    <t>ALCIVAR CORNEJO JOSHUA JANANIEL</t>
  </si>
  <si>
    <t>daarteag@espol.edu.ec</t>
  </si>
  <si>
    <t>ARTEAGA PLAZA DANIEL ALEJANDRO</t>
  </si>
  <si>
    <t>melmaast@espol.edu.ec</t>
  </si>
  <si>
    <t>ASTUDILLO JIMBO MELANYA MADELEINE</t>
  </si>
  <si>
    <t>allaborb@espol.edu.ec</t>
  </si>
  <si>
    <t>BORBOR BAQUERIZO ALLAN JOE</t>
  </si>
  <si>
    <t>bocastro@espol.edu.ec</t>
  </si>
  <si>
    <t>CASTRO MANOSALVAS BORIS JAVIER</t>
  </si>
  <si>
    <t>jhonmero@espol.edu.ec</t>
  </si>
  <si>
    <t>CHAVEZ MERO JHON MICHAEL</t>
  </si>
  <si>
    <t>emichica@espol.edu.ec</t>
  </si>
  <si>
    <t>CHICA HERNANDEZ EMILIO SEBASTIAN</t>
  </si>
  <si>
    <t>anchuqui@espol.edu.ec</t>
  </si>
  <si>
    <t>CHUQUIANA TAYUPANTA ANDREA DANIELA</t>
  </si>
  <si>
    <t>joseclav@espol.edu.ec</t>
  </si>
  <si>
    <t>CLAVIJO CELLERI JOSEPH ANDRE</t>
  </si>
  <si>
    <t>mastcoel@espol.edu.ec</t>
  </si>
  <si>
    <t>COELLO PEÑAFIEL MANUEL STEEVEN</t>
  </si>
  <si>
    <t>gcordovi@espol.edu.ec</t>
  </si>
  <si>
    <t>CORDOVILLO RODRIGUEZ GABRIEL ALEXANDER</t>
  </si>
  <si>
    <t>nickcuri@espol.edu.ec</t>
  </si>
  <si>
    <t>CURIMILMA PINTO NICKER ANTHONY</t>
  </si>
  <si>
    <t>handrdel@espol.edu.ec</t>
  </si>
  <si>
    <t>DEL ROSARIO TIGRERO HANDRY PAUL</t>
  </si>
  <si>
    <t>gafausto@espol.edu.ec</t>
  </si>
  <si>
    <t>FAUSTOS IÑIGUEZ GAEL ALEJANDRO</t>
  </si>
  <si>
    <t>edgaibor@espol.edu.ec</t>
  </si>
  <si>
    <t>GAIBOR MENDOZA EDISON JOSUE</t>
  </si>
  <si>
    <t>fergalar@espol.edu.ec</t>
  </si>
  <si>
    <t>GALARZA SOLIS FERNANDO DANIEL</t>
  </si>
  <si>
    <t>nicogavi@espol.edu.ec</t>
  </si>
  <si>
    <t>GAVILANES RIVERA NICOLAS GABRIEL</t>
  </si>
  <si>
    <t>jimguzma@espol.edu.ec</t>
  </si>
  <si>
    <t>GUZMAN ROSALES JIMMY ANDRES</t>
  </si>
  <si>
    <t>juanibar@espol.edu.ec</t>
  </si>
  <si>
    <t>IBARRA GAIBOR JUAN ANGEL</t>
  </si>
  <si>
    <t>jhoesinf@espol.edu.ec</t>
  </si>
  <si>
    <t>INFANTE CARVAJAL JHOSUE ESTEBAN</t>
  </si>
  <si>
    <t>diegjara@espol.edu.ec</t>
  </si>
  <si>
    <t>JARA CALDERON DIEGO DAVID</t>
  </si>
  <si>
    <t>gilandet@espol.edu.ec</t>
  </si>
  <si>
    <t>LANDETA PUA GILBERT ANDREE</t>
  </si>
  <si>
    <t>jerlopez@espol.edu.ec</t>
  </si>
  <si>
    <t>LOPEZ ANDRADE JEREMY JASHUA</t>
  </si>
  <si>
    <t>carmacia@espol.edu.ec</t>
  </si>
  <si>
    <t>MACIAS VELIZ CARLOS JOSE</t>
  </si>
  <si>
    <t>aomogoll@espol.edu.ec</t>
  </si>
  <si>
    <t>MOGOLLON ORTEGA ANGEL OSWALDO</t>
  </si>
  <si>
    <t>pablmora@espol.edu.ec</t>
  </si>
  <si>
    <t>MORA ORTEGA PABLO MARTIN</t>
  </si>
  <si>
    <t>gabrrazu@espol.edu.ec</t>
  </si>
  <si>
    <t>MORA RAZURI GABRIEL ESTEBAN</t>
  </si>
  <si>
    <t>domeoroz@espol.edu.ec</t>
  </si>
  <si>
    <t>OROZCO DAMIAN DOMENICA VALERIA</t>
  </si>
  <si>
    <t>seorrala@espol.edu.ec</t>
  </si>
  <si>
    <t>ORRALA MALAVE SEBASTIAN JAVIER</t>
  </si>
  <si>
    <t>dancamac@espol.edu.ec</t>
  </si>
  <si>
    <t>ORTEGA CAMACHO DANILO JAVIER</t>
  </si>
  <si>
    <t>dianpach@espol.edu.ec</t>
  </si>
  <si>
    <t>PACHECO VILLA DIEGO ANDRES</t>
  </si>
  <si>
    <t>alesperu@espol.edu.ec</t>
  </si>
  <si>
    <t>PEÑA DELGADO DAVID SEBASTIAN</t>
  </si>
  <si>
    <t>davipena@espol.edu.ec</t>
  </si>
  <si>
    <t>PERUGACHI JARAMILLO ALEXIS STANLEY</t>
  </si>
  <si>
    <t>cesramir@espol.edu.ec</t>
  </si>
  <si>
    <t>RAMIREZ PACHECO CESAR AUGUSTO</t>
  </si>
  <si>
    <t>paureyes@espol.edu.ec</t>
  </si>
  <si>
    <t>REYES ZAMBRANO PAUL ISAAC</t>
  </si>
  <si>
    <t>javrocha@espol.edu.ec</t>
  </si>
  <si>
    <t>ROCHA GOMEZ JAVIER ALEJANDRO</t>
  </si>
  <si>
    <t>jeanquin@espol.edu.ec</t>
  </si>
  <si>
    <t>RODRIGUEZ QUINTERO JEAN PIERO</t>
  </si>
  <si>
    <t>moiscruz@espol.edu.ec</t>
  </si>
  <si>
    <t>SALINAS CRUZ MOISES ADRIAN</t>
  </si>
  <si>
    <t>robsanch@espol.edu.ec</t>
  </si>
  <si>
    <t>SANCHEZ QUINTO ROBERTO ANDRES</t>
  </si>
  <si>
    <t>julsierr@espol.edu.ec</t>
  </si>
  <si>
    <t>SIERRA MOSCOSO JULIO CESAR</t>
  </si>
  <si>
    <t>stevcast@espol.edu.ec</t>
  </si>
  <si>
    <t>SOLIS CASTRO STEVEN ADRIAN</t>
  </si>
  <si>
    <t>josurami@espol.edu.ec</t>
  </si>
  <si>
    <t>SUBIA RAMIREZ JORGE ROLANDO</t>
  </si>
  <si>
    <t>luiteran@espol.edu.ec</t>
  </si>
  <si>
    <t>TERAN QUINTO LUIS ALESSANDRO</t>
  </si>
  <si>
    <t>tattsali@espol.edu.ec</t>
  </si>
  <si>
    <t>TORRES SALINAS TATIANA ANABEL</t>
  </si>
  <si>
    <t>axvillao@espol.edu.ec</t>
  </si>
  <si>
    <t>VILLAO RAMOS AXEL ANDRES</t>
  </si>
  <si>
    <t>santzava@espol.edu.ec</t>
  </si>
  <si>
    <t>ZAVALA MURILLO SANTIAGO ARMANDO</t>
  </si>
  <si>
    <t>P104</t>
  </si>
  <si>
    <t>axacosta@espol.edu.ec</t>
  </si>
  <si>
    <t>ACOSTA RUIZ AXEL JOSE</t>
  </si>
  <si>
    <t>alexflor@espol.edu.ec</t>
  </si>
  <si>
    <t>AJO FLORES ALEX IVAN</t>
  </si>
  <si>
    <t>guadalme@espol.edu.ec</t>
  </si>
  <si>
    <t>ALMEIDA LUNA GUSTAVO ADOLFO</t>
  </si>
  <si>
    <t>josealva@espol.edu.ec</t>
  </si>
  <si>
    <t>ALVARADO SOLIS JOSE JARED</t>
  </si>
  <si>
    <t>joalvega@espol.edu.ec</t>
  </si>
  <si>
    <t>ALVAREZ VEGA JOSE JAVIER</t>
  </si>
  <si>
    <t>brarteag@espol.edu.ec</t>
  </si>
  <si>
    <t>ARTEAGA PALMA BRYAN ADONIS</t>
  </si>
  <si>
    <t>cebarber@espol.edu.ec</t>
  </si>
  <si>
    <t>BARBERAN CHAMBA CESAR GABRIEL</t>
  </si>
  <si>
    <t>dylbazan@espol.edu.ec</t>
  </si>
  <si>
    <t>BAZAN CHAFLA DYLAN JOEL</t>
  </si>
  <si>
    <t>gabernal@espol.edu.ec</t>
  </si>
  <si>
    <t>BERNAL AGUIRRE GABRIELA ISABEL</t>
  </si>
  <si>
    <t>luisbrav@espol.edu.ec</t>
  </si>
  <si>
    <t>BRAVO BRIONES LUIS ALFREDO</t>
  </si>
  <si>
    <t xml:space="preserve"> toatl 5</t>
  </si>
  <si>
    <t>CALDAS CORREA ESTEBAN ANDRES</t>
  </si>
  <si>
    <t>gacarpio@espol.edu.ec</t>
  </si>
  <si>
    <t>CARPIO VALENCIA GABRIEL ALEJANDRO</t>
  </si>
  <si>
    <t>sanching@espol.edu.ec</t>
  </si>
  <si>
    <t>CHINGA ALARCON SANTIAGO ALEXANDER</t>
  </si>
  <si>
    <t>danchoez@espol.edu.ec</t>
  </si>
  <si>
    <t>CHOEZ REYES DANNY JOEL</t>
  </si>
  <si>
    <t>cescontr@espol.edu.ec</t>
  </si>
  <si>
    <t>CONTRERAS SANTILLAN CESAR MATEO</t>
  </si>
  <si>
    <t>javcurim@espol.edu.ec</t>
  </si>
  <si>
    <t>CURIMILMA GONZALEZ JAVIER ELKIN</t>
  </si>
  <si>
    <t>jestorre@espol.edu.ec</t>
  </si>
  <si>
    <t>DELGADO TORRES JESUS ADRIAN</t>
  </si>
  <si>
    <t>anadiaz@espol.edu.ec</t>
  </si>
  <si>
    <t>DIAZ RUGEL ANA PAULA</t>
  </si>
  <si>
    <t>ivamifaj@espol.edu.ec</t>
  </si>
  <si>
    <t>FAJARDO CANALES IVANNA MISELL</t>
  </si>
  <si>
    <t>jergonza@espol.edu.ec</t>
  </si>
  <si>
    <t>GONZALEZ SOLANO JEREMI ALEXANDER</t>
  </si>
  <si>
    <t>manujumb@espol.edu.ec</t>
  </si>
  <si>
    <t>JUMBO BUSTAMANTE MANUEL SEBASTIAN</t>
  </si>
  <si>
    <t>salamill@espol.edu.ec</t>
  </si>
  <si>
    <t>LAMILLA QUIJIJE SAMUEL LEONARDO</t>
  </si>
  <si>
    <t>emilloor@espol.edu.ec</t>
  </si>
  <si>
    <t>LOOR LEON EMILIANO MAURICIO</t>
  </si>
  <si>
    <t>jhonguay@espol.edu.ec</t>
  </si>
  <si>
    <t>LOPEZ GUAYLLAS JHONSON EMANUEL</t>
  </si>
  <si>
    <t>crismart@espol.edu.ec</t>
  </si>
  <si>
    <t>MARTIN PIMENTEL CRISTINA ALEJANDRA</t>
  </si>
  <si>
    <t>fernorte@espol.edu.ec</t>
  </si>
  <si>
    <t>ORTEGA BELTRAN FERNANDA DANIELA</t>
  </si>
  <si>
    <t>johortiz@espol.edu.ec</t>
  </si>
  <si>
    <t>ORTIZ ALAY JOHAN ALEJANDRO</t>
  </si>
  <si>
    <t>maripauc@espol.edu.ec</t>
  </si>
  <si>
    <t>PAUCAR ALBUJAR MARIA ETELVINA</t>
  </si>
  <si>
    <t>adripazm@espol.edu.ec</t>
  </si>
  <si>
    <t>PAZMINO ARMIJOS ADRIANA VALENTINA</t>
  </si>
  <si>
    <t>Maigomez@espol.edu.ec</t>
  </si>
  <si>
    <t>PIN GOMEZ MAICOL GEANPIER</t>
  </si>
  <si>
    <t>cesarrey@espol.edu.ec</t>
  </si>
  <si>
    <t>REY MEDINA CESAR FABIAN</t>
  </si>
  <si>
    <t>andrreye@espol.edu.ec</t>
  </si>
  <si>
    <t>REYES SANCHEZ CARLOS ANDRES</t>
  </si>
  <si>
    <t>jhonrive@espol.edu.ec</t>
  </si>
  <si>
    <t>RIVERA NOBLECILLA JHON ALEXANDER</t>
  </si>
  <si>
    <t>jostrodr@espol.edu.ec</t>
  </si>
  <si>
    <t>RODRIGUEZ MEDINA JOSTIN PAUL</t>
  </si>
  <si>
    <t>holrosal@espol.edu.ec</t>
  </si>
  <si>
    <t>ROSALES CHANCAY HOLGER ANDRES</t>
  </si>
  <si>
    <t>crisanto@espol.edu.ec</t>
  </si>
  <si>
    <t>SANTOS VERA CRISTHIAN DANIEL</t>
  </si>
  <si>
    <t>romisilv@espol.edu.ec</t>
  </si>
  <si>
    <t>SILVA MENDOZA ROMINA DENNISSE</t>
  </si>
  <si>
    <t>dousuare@espol.edu.ec</t>
  </si>
  <si>
    <t>SUAREZ BRIONES DOUGLAS ENRIQUE</t>
  </si>
  <si>
    <t>dilasuar@espol.edu.ec</t>
  </si>
  <si>
    <t>SUAREZ CHILAN DILAN LEONARDO</t>
  </si>
  <si>
    <t>isaatium@espol.edu.ec</t>
  </si>
  <si>
    <t>TIUMAICO PENARANDA ISAAC ALFONSO</t>
  </si>
  <si>
    <t>altoledo@espol.edu.ec</t>
  </si>
  <si>
    <t>TOLEDO CASTRO ANDY LEANDRO</t>
  </si>
  <si>
    <t>leanvera@espol.edu.ec</t>
  </si>
  <si>
    <t>VERA MACIAS LEANDRO LUIS</t>
  </si>
  <si>
    <t>geovepanchana@espol.edu.ec</t>
  </si>
  <si>
    <t>VERA PANCHANA GEOVANNY ISRAEL</t>
  </si>
  <si>
    <t>danvevasquez@espol.edu.ec</t>
  </si>
  <si>
    <t>VERA VASQUEZ DANNA MARIA</t>
  </si>
  <si>
    <t>saidvill@espol.edu.ec</t>
  </si>
  <si>
    <t>VILLEGAS OLVERA SAID FARID</t>
  </si>
  <si>
    <t>matvinue@espol.edu.ec</t>
  </si>
  <si>
    <t>VINUEZA ROGASNER MATIAS JAVIER</t>
  </si>
  <si>
    <t>sebayupa@espol.edu.ec</t>
  </si>
  <si>
    <t>YUPA CABADIANA SEBASTIAN YASMANI</t>
  </si>
  <si>
    <t>mizapata@espol.edu.ec</t>
  </si>
  <si>
    <t>ZAPATA MEDINA MIGUEL ISAI</t>
  </si>
  <si>
    <t>alazhang@espol.edu.ec</t>
  </si>
  <si>
    <t>ZHANGALLIMPAY ZHOGOR ALAN JOREL</t>
  </si>
  <si>
    <t>P105</t>
  </si>
  <si>
    <t>joadrian@espol.edu.ec</t>
  </si>
  <si>
    <t>ADRIAN GUARQUILA  JOHNNY ALEXANDER</t>
  </si>
  <si>
    <t>vicadria@espol.edu.ec</t>
  </si>
  <si>
    <t>ADRIAN GUZMAN  VICTOR ARMANDO</t>
  </si>
  <si>
    <t>franagui@espol.edu.ec</t>
  </si>
  <si>
    <t>AGUILAR  FRANCIS GABRIEL</t>
  </si>
  <si>
    <t>anabcede@espol.edu.ec</t>
  </si>
  <si>
    <t>ALVARADO CEDEÑO  ANABEL LIZBETH</t>
  </si>
  <si>
    <t>maranalv@espol.edu.ec</t>
  </si>
  <si>
    <t>ALVARADO SALAS  MARCO ANTONIO</t>
  </si>
  <si>
    <t>diaranda@espol.edu.ec</t>
  </si>
  <si>
    <t>ARANDA LUCIO  DIEGO ADRIAN</t>
  </si>
  <si>
    <t>gustarre@espol.edu.ec</t>
  </si>
  <si>
    <t>ARREAGA MORA  GUSTAVO ELIAS</t>
  </si>
  <si>
    <t>cabailon@espol.edu.ec</t>
  </si>
  <si>
    <t>BAILON VASQUEZ  CHARLES ADAM</t>
  </si>
  <si>
    <t>bitobast@espol.edu.ec</t>
  </si>
  <si>
    <t>BASTIDAS AVILES  BILLY TOMMY</t>
  </si>
  <si>
    <t>jeanborb@espol.edu.ec</t>
  </si>
  <si>
    <t>BORBOR TOMALA  JEAN PIERRE</t>
  </si>
  <si>
    <t>gcabanil@espol.edu.ec</t>
  </si>
  <si>
    <t>CABANILLA SUAREZ  GABRIEL ISAAC</t>
  </si>
  <si>
    <t>jochavez@espol.edu.ec</t>
  </si>
  <si>
    <t>CHAVEZ RODRIGUEZ  JONATHAN DANIEL</t>
  </si>
  <si>
    <t>stcorrea@espol.edu.ec</t>
  </si>
  <si>
    <t>CORREA MOYA  STEVEN JOSUE</t>
  </si>
  <si>
    <t>ladyespi@espol.edu.ec</t>
  </si>
  <si>
    <t>ESPINAL HOLGUIN  LADY XIMENA</t>
  </si>
  <si>
    <t>carfigue@espol.edu.ec</t>
  </si>
  <si>
    <t>FIGUEROA RODRIGUEZ  CARLOS EDDU</t>
  </si>
  <si>
    <t>eriberme@espol.edu.ec</t>
  </si>
  <si>
    <t>GARCIA BERMEO  ERICKA PAULINA</t>
  </si>
  <si>
    <t>luisgeno@espol.edu.ec</t>
  </si>
  <si>
    <t>GENOVEZ MUENTES  LUIS JARED</t>
  </si>
  <si>
    <t>willhida@espol.edu.ec</t>
  </si>
  <si>
    <t>HIDALGO SERRANO  WILLIAM ADRIAN</t>
  </si>
  <si>
    <t>efraholg@espol.edu.ec</t>
  </si>
  <si>
    <t>HOLGUIN MEDINA  EFRAIN NICOLAS</t>
  </si>
  <si>
    <t>paulavan@espol.edu.ec</t>
  </si>
  <si>
    <t>LAVANDA PLACENCIA  PAUL ALFONSO</t>
  </si>
  <si>
    <t>sergleon@espol.edu.ec</t>
  </si>
  <si>
    <t>LEON MERCHAN  SERGIO JEANPIERRE</t>
  </si>
  <si>
    <t>nimacias@espol.edu.ec</t>
  </si>
  <si>
    <t>MACIAS ORTIZ  NICOLAS ALBERTO</t>
  </si>
  <si>
    <t>edmaila@espol.edu.ec</t>
  </si>
  <si>
    <t>MAILA VILLON  ELIOT DANIEL</t>
  </si>
  <si>
    <t>jorgmera@espol.edu.ec</t>
  </si>
  <si>
    <t>MERA VILLAMAR  JORGE SAID</t>
  </si>
  <si>
    <t>ericmise@espol.edu.ec</t>
  </si>
  <si>
    <t>MISE NUÑEZ  ERICK EDUARDO</t>
  </si>
  <si>
    <t>willmosq@espol.edu.ec</t>
  </si>
  <si>
    <t>MOSQUERA LOPEZ  WILLIAMS JEANPIERRE</t>
  </si>
  <si>
    <t>marcflor@espol.edu.ec</t>
  </si>
  <si>
    <t>NARANJO FLORES  MARCELO ALEJANDRO</t>
  </si>
  <si>
    <t>jordnarv@espol.edu.ec</t>
  </si>
  <si>
    <t>NARVAEZ TENEMASA  JORDY STEVEN</t>
  </si>
  <si>
    <t>marcorte@espol.edu.ec</t>
  </si>
  <si>
    <t>ORTEGA AVILES  MARCO ADRIAN</t>
  </si>
  <si>
    <t>aimeorte@espol.edu.ec</t>
  </si>
  <si>
    <t>ORTEGA YAGUAL  AIME NAHOMI</t>
  </si>
  <si>
    <t>josuorti@espol.edu.ec</t>
  </si>
  <si>
    <t>ORTIZ MACIAS  JOSUE ALEXANDER</t>
  </si>
  <si>
    <t>elinorti@espol.edu.ec</t>
  </si>
  <si>
    <t>ORTIZ ROJAS  ELINA NATASHA</t>
  </si>
  <si>
    <t>carpadil@espol.edu.ec</t>
  </si>
  <si>
    <t>PADILLA RICAURTE  CARLOS SEBASTIAN</t>
  </si>
  <si>
    <t>jparreno@espol.edu.ec</t>
  </si>
  <si>
    <t>PARREÑO QUIROZ  JAIR OMAR</t>
  </si>
  <si>
    <t>ydperalt@espol.edu.ec</t>
  </si>
  <si>
    <t>PERALTA CARRILLO  YULEYSE DAYANA</t>
  </si>
  <si>
    <t>joshquim@espol.edu.ec</t>
  </si>
  <si>
    <t>QUIMIS MOYA  JOSHUA ABEL</t>
  </si>
  <si>
    <t>vicrigaz@espol.edu.ec</t>
  </si>
  <si>
    <t>RIGAZIO LEON  VICTORIA ALEJANDRA</t>
  </si>
  <si>
    <t>dylrosal@espol.edu.ec</t>
  </si>
  <si>
    <t>ROSALES ASENCIO  DYLAN JAVIER</t>
  </si>
  <si>
    <t>rarosero@espol.edu.ec</t>
  </si>
  <si>
    <t>ROSERO ZAPATA  RAFAEL ANDRES</t>
  </si>
  <si>
    <t>roysaba@espol.edu.ec</t>
  </si>
  <si>
    <t>SABANDO AGUIRRE  ROY MIGUEL</t>
  </si>
  <si>
    <t>carltoro@espol.edu.ec</t>
  </si>
  <si>
    <t>TORO SANCHEZ  CARLOS ARMANDO</t>
  </si>
  <si>
    <t>edrevala@espol.edu.ec</t>
  </si>
  <si>
    <t>VALAREZO MOREANO  EDWIN RENATO</t>
  </si>
  <si>
    <t>reganvel@espol.edu.ec</t>
  </si>
  <si>
    <t>VELEZ CAICEDO  REGIS ANDRE</t>
  </si>
  <si>
    <t>kevillac@espol.edu.ec</t>
  </si>
  <si>
    <t>VILLACIS BAZARAN  KEVIN ISAAC</t>
  </si>
  <si>
    <t>duvevill@espol.edu.ec</t>
  </si>
  <si>
    <t>VILLAMAR BARAHONA  DUVAL ELIUD</t>
  </si>
  <si>
    <t>ajviteri@espol.edu.ec</t>
  </si>
  <si>
    <t>VITERI VECILLA  ARIEL JOSUE</t>
  </si>
  <si>
    <t>vicawils@espol.edu.ec</t>
  </si>
  <si>
    <t>WILSON CHAVEZ  VICENTE ALEXANDER</t>
  </si>
  <si>
    <t>jeanyagu@espol.edu.ec</t>
  </si>
  <si>
    <t>YAGUAL PANCHANA  JEAN PIERRE</t>
  </si>
  <si>
    <t>%</t>
  </si>
  <si>
    <t>P106</t>
  </si>
  <si>
    <t>heiadria@espol.edu.ec</t>
  </si>
  <si>
    <t>ADRIANO MACAS HEIDI JAMILETH</t>
  </si>
  <si>
    <t>valealva@espol.edu.ec</t>
  </si>
  <si>
    <t>ALVAREZ ROBLES VALESKA SCARLETT</t>
  </si>
  <si>
    <t>narizaga@espol.edu.ec</t>
  </si>
  <si>
    <t>ARIZAGA RICAURTE NOHELIA DAYANARA</t>
  </si>
  <si>
    <t>hoavella@espol.edu.ec</t>
  </si>
  <si>
    <t>AVELLAN BRAVO HOMERO MANUEL</t>
  </si>
  <si>
    <t>gbartolo@espol.edu.ec</t>
  </si>
  <si>
    <t>BARTOLOME QUINDE GILDA ISABEL</t>
  </si>
  <si>
    <t>jubarzol@espol.edu.ec</t>
  </si>
  <si>
    <t>BARZOLA SOLORZANO JULIO SAMUEL</t>
  </si>
  <si>
    <t>gabrsanc@espol.edu.ec</t>
  </si>
  <si>
    <t>BONILLA SANCHEZ GABRIEL SANTIAGO</t>
  </si>
  <si>
    <t>anborbor@espol.edu.ec</t>
  </si>
  <si>
    <t>BORBOR SANCHEZ ANTHONY ARIEL</t>
  </si>
  <si>
    <t>jackbrav@espol.edu.ec</t>
  </si>
  <si>
    <t>BRAVO VANONI JACK ROBINSON</t>
  </si>
  <si>
    <t>rolabrio@espol.edu.ec</t>
  </si>
  <si>
    <t>BRIONES CRUZ ROLANDO JAVIER</t>
  </si>
  <si>
    <t>mscali@espol.edu.ec</t>
  </si>
  <si>
    <t>CALI MORENO MARCELO SEBASTIAN</t>
  </si>
  <si>
    <t>ronncede@espol.edu.ec</t>
  </si>
  <si>
    <t>CEDEÃ‘O PEÃ‘AFIEL RONNY ALEXANDER</t>
  </si>
  <si>
    <t>iscercad@espol.edu.ec</t>
  </si>
  <si>
    <t>CERCADO TRIVIÃ‘O ISAAC JOEL</t>
  </si>
  <si>
    <t>dacoloma@espol.edu.ec</t>
  </si>
  <si>
    <t>COLOMA ORRALA DAVID ADRIAN</t>
  </si>
  <si>
    <t>jefffran@espol.edu.ec</t>
  </si>
  <si>
    <t>FRANCO DEMERA JEFF MATHEW</t>
  </si>
  <si>
    <t>erigconf@espol.edu.ec</t>
  </si>
  <si>
    <t>GARCES CONFORME ERICK RODRIGO</t>
  </si>
  <si>
    <t>ricangar@espol.edu.ec</t>
  </si>
  <si>
    <t>GARCIA CERVANTES RICARDO ANDRE</t>
  </si>
  <si>
    <t>nellgonz@espol.edu.ec</t>
  </si>
  <si>
    <t>GONZALEZ CEVALLOS NELLY CAMILA</t>
  </si>
  <si>
    <t>goguacha@espol.edu.ec</t>
  </si>
  <si>
    <t>GUACHAMIN CARRIEL GONZALO ENRIQUE</t>
  </si>
  <si>
    <t>sebaguar@espol.edu.ec</t>
  </si>
  <si>
    <t>GUARTATANGA SALVATIERRA SEBASTIAN GEOVANNY</t>
  </si>
  <si>
    <t>andrinig@espol.edu.ec</t>
  </si>
  <si>
    <t>IÃ‘IGUEZ HIDALGO ANDREA ESTEFANIA</t>
  </si>
  <si>
    <t>franjach@espol.edu.ec</t>
  </si>
  <si>
    <t>JACHO TANDAZO FRANCISCO JAVIER</t>
  </si>
  <si>
    <t>juallagu@espol.edu.ec</t>
  </si>
  <si>
    <t>LLAGUNO PERALTA JUAN PABLO</t>
  </si>
  <si>
    <t>danmedin@espol.edu.ec</t>
  </si>
  <si>
    <t>MEDINA CEDEÃ‘O DANIEL ANDREW</t>
  </si>
  <si>
    <t>carlmira@espol.edu.ec</t>
  </si>
  <si>
    <t>MIRANDA PINCAY CARLOS NAHIM</t>
  </si>
  <si>
    <t>kellmite@espol.edu.ec</t>
  </si>
  <si>
    <t>MITE CORONEL KELLY VALENTINA</t>
  </si>
  <si>
    <t>isaamora@espol.edu.ec</t>
  </si>
  <si>
    <t>MORAN CEBALLOS ISAAC ALFONSO</t>
  </si>
  <si>
    <t>timomuri@espol.edu.ec</t>
  </si>
  <si>
    <t>MURILLO DIAZ TIMOTHY ALEXANDER</t>
  </si>
  <si>
    <t>jvortiz@espol.edu.ec</t>
  </si>
  <si>
    <t>ORTIZ PAZ JOSEPH VICENTE</t>
  </si>
  <si>
    <t>reyortiz@espol.edu.ec</t>
  </si>
  <si>
    <t>ORTIZ ZAMORA REYMOND MICAEL</t>
  </si>
  <si>
    <t>manpache@espol.edu.ec</t>
  </si>
  <si>
    <t>PACHECO MURILLO MANUEL ADRIAN</t>
  </si>
  <si>
    <t>daparral@espol.edu.ec</t>
  </si>
  <si>
    <t>PARRALES AREVALO DAVID ALEXANDER</t>
  </si>
  <si>
    <t>gonperez@espol.edu.ec</t>
  </si>
  <si>
    <t>PEREZ ROSERO GONZALO ERNESTO</t>
  </si>
  <si>
    <t>armpinto@espol.edu.ec</t>
  </si>
  <si>
    <t>PINTO MACIAS ARMANDO ANTONIO</t>
  </si>
  <si>
    <t>mathpiya@espol.edu.ec</t>
  </si>
  <si>
    <t>PIYASAGUA NACIPUCHA MATHEUS JAVIER</t>
  </si>
  <si>
    <t>edeponce@espol.edu.ec</t>
  </si>
  <si>
    <t>PONCE PLUA EDER ANDRES</t>
  </si>
  <si>
    <t>ericramo@espol.edu.ec</t>
  </si>
  <si>
    <t>RAMOS VARGAS ERICK ALEJANDRO</t>
  </si>
  <si>
    <t>josreyes@espol.edu.ec</t>
  </si>
  <si>
    <t>REYES REYES JOSELYN EMILY</t>
  </si>
  <si>
    <t>emirodri@espol.edu.ec</t>
  </si>
  <si>
    <t>RODRIGUEZ BUSTAMANTE EMILY ALEJANDRA</t>
  </si>
  <si>
    <t>cjrodrig@espol.edu.ec</t>
  </si>
  <si>
    <t>RODRIGUEZ SOLIS CARLOS JOSE</t>
  </si>
  <si>
    <t>adrirome@espol.edu.ec</t>
  </si>
  <si>
    <t>ROMERO MUÃ‘OZ ADRIAN ALEXANDER</t>
  </si>
  <si>
    <t>angesori@espol.edu.ec</t>
  </si>
  <si>
    <t>SORIANO PANCHANA ANGELINE GABRIELA</t>
  </si>
  <si>
    <t>romtigua@espol.edu.ec</t>
  </si>
  <si>
    <t>TIGUA DE LA A ROMINA ELIZABETH</t>
  </si>
  <si>
    <t>raultorr@espol.edu.ec</t>
  </si>
  <si>
    <t>TORRES MACIAS RAUL DAVID</t>
  </si>
  <si>
    <t>josuvarg@espol.edu.ec</t>
  </si>
  <si>
    <t>VARGAS PANCHANA JOSUE NELSON</t>
  </si>
  <si>
    <t>samavera@espol.edu.ec</t>
  </si>
  <si>
    <t>VERA CALVA SAMANTHA ANAHI</t>
  </si>
  <si>
    <t>eliavera@espol.edu.ec</t>
  </si>
  <si>
    <t>VERA REYES RICARDO ELIAS</t>
  </si>
  <si>
    <t>adrzaval@espol.edu.ec</t>
  </si>
  <si>
    <t>ZAVALA FLORES ADRIAN ALEJANDRO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</si>
</sst>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46">
    <font>
      <sz val="11.0"/>
      <color theme="1"/>
      <name val="Calibri"/>
      <scheme val="minor"/>
    </font>
    <font>
      <b/>
      <sz val="16.0"/>
      <color rgb="FFFFFFFF"/>
      <name val="Calibri"/>
    </font>
    <font/>
    <font>
      <b/>
      <sz val="16.0"/>
      <color theme="0"/>
      <name val="Calibri"/>
    </font>
    <font>
      <b/>
      <sz val="16.0"/>
      <color theme="1"/>
      <name val="Calibri"/>
    </font>
    <font>
      <sz val="11.0"/>
      <color theme="1"/>
      <name val="Calibri"/>
    </font>
    <font>
      <b/>
      <sz val="11.0"/>
      <color rgb="FFFFFFFF"/>
      <name val="Calibri"/>
    </font>
    <font>
      <sz val="11.0"/>
      <color rgb="FFFFFFFF"/>
      <name val="Calibri"/>
    </font>
    <font>
      <b/>
      <sz val="11.0"/>
      <color theme="0"/>
      <name val="Calibri"/>
    </font>
    <font>
      <b/>
      <sz val="11.0"/>
      <color rgb="FF000000"/>
      <name val="Calibri"/>
    </font>
    <font>
      <b/>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sz val="11.0"/>
      <color rgb="FFFF9900"/>
      <name val="Calibri"/>
    </font>
    <font>
      <sz val="11.0"/>
      <color rgb="FFFF0000"/>
      <name val="Calibri"/>
    </font>
    <font>
      <sz val="12.0"/>
      <color rgb="FF000000"/>
      <name val="Calibri"/>
    </font>
    <font>
      <color theme="1"/>
      <name val="Calibri"/>
      <scheme val="minor"/>
    </font>
    <font>
      <sz val="11.0"/>
      <color rgb="FF434343"/>
      <name val="Calibri"/>
    </font>
    <font>
      <sz val="11.0"/>
      <color rgb="FF00000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u/>
      <sz val="11.0"/>
      <color rgb="FF0563C1"/>
      <name val="&quot;Aptos Narrow&quot;"/>
    </font>
    <font>
      <sz val="11.0"/>
      <color theme="1"/>
      <name val="Aptos Narrow"/>
    </font>
    <font>
      <b/>
      <sz val="12.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sz val="11.0"/>
      <color rgb="FF000000"/>
      <name val="&quot;Aptos Narrow&quot;"/>
    </font>
    <font>
      <sz val="11.0"/>
      <color rgb="FF000000"/>
      <name val="Arial"/>
    </font>
  </fonts>
  <fills count="30">
    <fill>
      <patternFill patternType="none"/>
    </fill>
    <fill>
      <patternFill patternType="lightGray"/>
    </fill>
    <fill>
      <patternFill patternType="solid">
        <fgColor theme="1"/>
        <bgColor theme="1"/>
      </patternFill>
    </fill>
    <fill>
      <patternFill patternType="solid">
        <fgColor rgb="FF2E75B5"/>
        <bgColor rgb="FF2E75B5"/>
      </patternFill>
    </fill>
    <fill>
      <patternFill patternType="solid">
        <fgColor rgb="FFFFC000"/>
        <bgColor rgb="FFFFC000"/>
      </patternFill>
    </fill>
    <fill>
      <patternFill patternType="solid">
        <fgColor rgb="FF00B0F0"/>
        <bgColor rgb="FF00B0F0"/>
      </patternFill>
    </fill>
    <fill>
      <patternFill patternType="solid">
        <fgColor rgb="FF92D050"/>
        <bgColor rgb="FF92D050"/>
      </patternFill>
    </fill>
    <fill>
      <patternFill patternType="solid">
        <fgColor rgb="FF00B050"/>
        <bgColor rgb="FF00B050"/>
      </patternFill>
    </fill>
    <fill>
      <patternFill patternType="solid">
        <fgColor rgb="FF7B7B7B"/>
        <bgColor rgb="FF7B7B7B"/>
      </patternFill>
    </fill>
    <fill>
      <patternFill patternType="solid">
        <fgColor rgb="FF6F5CFE"/>
        <bgColor rgb="FF6F5CFE"/>
      </patternFill>
    </fill>
    <fill>
      <patternFill patternType="solid">
        <fgColor rgb="FFF4B083"/>
        <bgColor rgb="FFF4B083"/>
      </patternFill>
    </fill>
    <fill>
      <patternFill patternType="solid">
        <fgColor rgb="FFFFFF00"/>
        <bgColor rgb="FFFFFF00"/>
      </patternFill>
    </fill>
    <fill>
      <patternFill patternType="solid">
        <fgColor rgb="FFFFD965"/>
        <bgColor rgb="FFFFD965"/>
      </patternFill>
    </fill>
    <fill>
      <patternFill patternType="solid">
        <fgColor rgb="FFBF9000"/>
        <bgColor rgb="FFBF9000"/>
      </patternFill>
    </fill>
    <fill>
      <patternFill patternType="solid">
        <fgColor rgb="FFFEF2CB"/>
        <bgColor rgb="FFFEF2CB"/>
      </patternFill>
    </fill>
    <fill>
      <patternFill patternType="solid">
        <fgColor rgb="FF6DD9FF"/>
        <bgColor rgb="FF6DD9FF"/>
      </patternFill>
    </fill>
    <fill>
      <patternFill patternType="solid">
        <fgColor rgb="FFB0DD7F"/>
        <bgColor rgb="FFB0DD7F"/>
      </patternFill>
    </fill>
    <fill>
      <patternFill patternType="solid">
        <fgColor rgb="FF47FF9A"/>
        <bgColor rgb="FF47FF9A"/>
      </patternFill>
    </fill>
    <fill>
      <patternFill patternType="solid">
        <fgColor rgb="FFD0CECE"/>
        <bgColor rgb="FFD0CECE"/>
      </patternFill>
    </fill>
    <fill>
      <patternFill patternType="solid">
        <fgColor rgb="FF7563FD"/>
        <bgColor rgb="FF7563FD"/>
      </patternFill>
    </fill>
    <fill>
      <patternFill patternType="solid">
        <fgColor rgb="FF9B8FE1"/>
        <bgColor rgb="FF9B8FE1"/>
      </patternFill>
    </fill>
    <fill>
      <patternFill patternType="solid">
        <fgColor rgb="FFC8C8C8"/>
        <bgColor rgb="FFC8C8C8"/>
      </patternFill>
    </fill>
    <fill>
      <patternFill patternType="solid">
        <fgColor rgb="FFB2A8FE"/>
        <bgColor rgb="FFB2A8FE"/>
      </patternFill>
    </fill>
    <fill>
      <patternFill patternType="solid">
        <fgColor rgb="FFD9E2F3"/>
        <bgColor rgb="FFD9E2F3"/>
      </patternFill>
    </fill>
    <fill>
      <patternFill patternType="solid">
        <fgColor rgb="FFB4C6E7"/>
        <bgColor rgb="FFB4C6E7"/>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s>
  <borders count="16">
    <border/>
    <border>
      <left/>
      <top/>
      <bottom/>
    </border>
    <border>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000000"/>
      </right>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3" fontId="3" numFmtId="0" xfId="0" applyAlignment="1" applyBorder="1" applyFill="1" applyFont="1">
      <alignment horizontal="center" vertical="center"/>
    </xf>
    <xf borderId="4" fillId="0" fontId="2" numFmtId="0" xfId="0" applyBorder="1" applyFont="1"/>
    <xf borderId="5" fillId="0" fontId="2" numFmtId="0" xfId="0" applyBorder="1" applyFont="1"/>
    <xf borderId="3" fillId="4" fontId="4" numFmtId="0" xfId="0" applyAlignment="1" applyBorder="1" applyFill="1" applyFont="1">
      <alignment horizontal="center" vertical="center"/>
    </xf>
    <xf borderId="3" fillId="5" fontId="4" numFmtId="0" xfId="0" applyAlignment="1" applyBorder="1" applyFill="1" applyFont="1">
      <alignment horizontal="center" vertical="center"/>
    </xf>
    <xf borderId="3" fillId="6" fontId="4" numFmtId="0" xfId="0" applyAlignment="1" applyBorder="1" applyFill="1" applyFont="1">
      <alignment horizontal="center" vertical="center"/>
    </xf>
    <xf borderId="3" fillId="7" fontId="4" numFmtId="0" xfId="0" applyAlignment="1" applyBorder="1" applyFill="1" applyFont="1">
      <alignment horizontal="center" readingOrder="0" vertical="center"/>
    </xf>
    <xf borderId="6" fillId="0" fontId="2" numFmtId="0" xfId="0" applyBorder="1" applyFont="1"/>
    <xf borderId="3" fillId="8" fontId="4" numFmtId="0" xfId="0" applyAlignment="1" applyBorder="1" applyFill="1" applyFont="1">
      <alignment horizontal="center" vertical="center"/>
    </xf>
    <xf borderId="3" fillId="9" fontId="4" numFmtId="0" xfId="0" applyAlignment="1" applyBorder="1" applyFill="1" applyFont="1">
      <alignment horizontal="center" readingOrder="0" vertical="center"/>
    </xf>
    <xf borderId="7" fillId="10" fontId="4" numFmtId="0" xfId="0" applyAlignment="1" applyBorder="1" applyFill="1" applyFont="1">
      <alignment horizontal="center" shrinkToFit="0" vertical="center" wrapText="1"/>
    </xf>
    <xf borderId="3" fillId="11" fontId="4" numFmtId="0" xfId="0" applyAlignment="1" applyBorder="1" applyFill="1" applyFont="1">
      <alignment horizontal="center" vertical="center"/>
    </xf>
    <xf borderId="8" fillId="0" fontId="5" numFmtId="0" xfId="0" applyAlignment="1" applyBorder="1" applyFont="1">
      <alignment horizontal="center"/>
    </xf>
    <xf borderId="9" fillId="0" fontId="5" numFmtId="0" xfId="0" applyAlignment="1" applyBorder="1" applyFont="1">
      <alignment horizontal="center"/>
    </xf>
    <xf borderId="10" fillId="0" fontId="5" numFmtId="0" xfId="0" applyAlignment="1" applyBorder="1" applyFont="1">
      <alignment horizontal="center"/>
    </xf>
    <xf borderId="9" fillId="0" fontId="6" numFmtId="0" xfId="0" applyAlignment="1" applyBorder="1" applyFont="1">
      <alignment horizontal="center" shrinkToFit="0" wrapText="1"/>
    </xf>
    <xf borderId="7" fillId="12" fontId="7" numFmtId="0" xfId="0" applyAlignment="1" applyBorder="1" applyFill="1" applyFont="1">
      <alignment horizontal="center"/>
    </xf>
    <xf borderId="7" fillId="13" fontId="7" numFmtId="0" xfId="0" applyAlignment="1" applyBorder="1" applyFill="1" applyFont="1">
      <alignment horizontal="center"/>
    </xf>
    <xf borderId="7" fillId="14" fontId="7" numFmtId="0" xfId="0" applyAlignment="1" applyBorder="1" applyFill="1" applyFont="1">
      <alignment horizontal="center"/>
    </xf>
    <xf borderId="7" fillId="4" fontId="7" numFmtId="0" xfId="0" applyAlignment="1" applyBorder="1" applyFill="1" applyFont="1">
      <alignment horizontal="center"/>
    </xf>
    <xf borderId="11" fillId="12" fontId="7" numFmtId="0" xfId="0" applyAlignment="1" applyBorder="1" applyFill="1" applyFont="1">
      <alignment horizontal="center"/>
    </xf>
    <xf borderId="11" fillId="13" fontId="7" numFmtId="0" xfId="0" applyAlignment="1" applyBorder="1" applyFill="1" applyFont="1">
      <alignment horizontal="center"/>
    </xf>
    <xf borderId="11" fillId="14" fontId="7" numFmtId="0" xfId="0" applyAlignment="1" applyBorder="1" applyFill="1" applyFont="1">
      <alignment horizontal="center"/>
    </xf>
    <xf borderId="11" fillId="4" fontId="7" numFmtId="0" xfId="0" applyAlignment="1" applyBorder="1" applyFill="1" applyFont="1">
      <alignment horizontal="center"/>
    </xf>
    <xf borderId="11" fillId="11" fontId="7" numFmtId="0" xfId="0" applyAlignment="1" applyBorder="1" applyFill="1" applyFont="1">
      <alignment horizontal="center"/>
    </xf>
    <xf borderId="11" fillId="15" fontId="7" numFmtId="0" xfId="0" applyAlignment="1" applyBorder="1" applyFill="1" applyFont="1">
      <alignment horizontal="center"/>
    </xf>
    <xf borderId="11" fillId="5" fontId="7" numFmtId="0" xfId="0" applyAlignment="1" applyBorder="1" applyFill="1" applyFont="1">
      <alignment horizontal="center"/>
    </xf>
    <xf borderId="7" fillId="16" fontId="6" numFmtId="0" xfId="0" applyAlignment="1" applyBorder="1" applyFill="1" applyFont="1">
      <alignment horizontal="center"/>
    </xf>
    <xf borderId="11" fillId="17" fontId="6" numFmtId="0" xfId="0" applyAlignment="1" applyBorder="1" applyFill="1" applyFont="1">
      <alignment horizontal="center"/>
    </xf>
    <xf borderId="11" fillId="7" fontId="6" numFmtId="0" xfId="0" applyAlignment="1" applyBorder="1" applyFill="1" applyFont="1">
      <alignment horizontal="center"/>
    </xf>
    <xf borderId="11" fillId="18" fontId="7" numFmtId="0" xfId="0" applyAlignment="1" applyBorder="1" applyFill="1" applyFont="1">
      <alignment horizontal="center"/>
    </xf>
    <xf borderId="11" fillId="8" fontId="7" numFmtId="0" xfId="0" applyAlignment="1" applyBorder="1" applyFill="1" applyFont="1">
      <alignment horizontal="center"/>
    </xf>
    <xf borderId="11" fillId="9" fontId="7" numFmtId="0" xfId="0" applyAlignment="1" applyBorder="1" applyFill="1" applyFont="1">
      <alignment horizontal="center"/>
    </xf>
    <xf borderId="11" fillId="19" fontId="7" numFmtId="0" xfId="0" applyAlignment="1" applyBorder="1" applyFill="1" applyFont="1">
      <alignment horizontal="center"/>
    </xf>
    <xf borderId="11" fillId="20" fontId="7" numFmtId="0" xfId="0" applyAlignment="1" applyBorder="1" applyFill="1" applyFont="1">
      <alignment horizontal="center"/>
    </xf>
    <xf borderId="11" fillId="21" fontId="7" numFmtId="0" xfId="0" applyAlignment="1" applyBorder="1" applyFill="1" applyFont="1">
      <alignment horizontal="center"/>
    </xf>
    <xf borderId="11" fillId="10" fontId="5" numFmtId="0" xfId="0" applyAlignment="1" applyBorder="1" applyFill="1" applyFont="1">
      <alignment horizontal="center" shrinkToFit="0" wrapText="1"/>
    </xf>
    <xf borderId="11" fillId="6" fontId="5" numFmtId="0" xfId="0" applyAlignment="1" applyBorder="1" applyFill="1" applyFont="1">
      <alignment horizontal="center"/>
    </xf>
    <xf borderId="11" fillId="11" fontId="7" numFmtId="0" xfId="0" applyAlignment="1" applyBorder="1" applyFill="1" applyFont="1">
      <alignment horizontal="center" shrinkToFit="0" wrapText="1"/>
    </xf>
    <xf borderId="12" fillId="2" fontId="8" numFmtId="0" xfId="0" applyAlignment="1" applyBorder="1" applyFill="1" applyFont="1">
      <alignment horizontal="center" vertical="center"/>
    </xf>
    <xf borderId="7" fillId="2" fontId="8" numFmtId="0" xfId="0" applyAlignment="1" applyBorder="1" applyFill="1" applyFont="1">
      <alignment horizontal="center" vertical="center"/>
    </xf>
    <xf borderId="7" fillId="2" fontId="8" numFmtId="2" xfId="0" applyAlignment="1" applyBorder="1" applyFill="1" applyFont="1" applyNumberFormat="1">
      <alignment horizontal="center" vertical="center"/>
    </xf>
    <xf borderId="7" fillId="2" fontId="6" numFmtId="0" xfId="0" applyAlignment="1" applyBorder="1" applyFill="1" applyFont="1">
      <alignment horizontal="center" readingOrder="0" vertical="center"/>
    </xf>
    <xf borderId="7" fillId="9" fontId="9" numFmtId="2" xfId="0" applyAlignment="1" applyBorder="1" applyFill="1" applyFont="1" applyNumberFormat="1">
      <alignment horizontal="center" vertical="center"/>
    </xf>
    <xf borderId="7" fillId="2" fontId="8" numFmtId="1" xfId="0" applyAlignment="1" applyBorder="1" applyFill="1" applyFont="1" applyNumberFormat="1">
      <alignment horizontal="center" vertical="center"/>
    </xf>
    <xf borderId="5" fillId="0" fontId="5" numFmtId="0" xfId="0" applyBorder="1" applyFont="1"/>
    <xf borderId="7" fillId="0" fontId="5" numFmtId="0" xfId="0" applyBorder="1" applyFont="1"/>
    <xf borderId="7" fillId="0" fontId="5" numFmtId="0" xfId="0" applyAlignment="1" applyBorder="1" applyFont="1">
      <alignment horizontal="center" vertical="center"/>
    </xf>
    <xf borderId="7" fillId="0" fontId="5" numFmtId="164" xfId="0" applyAlignment="1" applyBorder="1" applyFont="1" applyNumberFormat="1">
      <alignment readingOrder="0"/>
    </xf>
    <xf borderId="7" fillId="12" fontId="5" numFmtId="2" xfId="0" applyAlignment="1" applyBorder="1" applyFill="1" applyFont="1" applyNumberFormat="1">
      <alignment readingOrder="0"/>
    </xf>
    <xf borderId="7" fillId="13" fontId="5" numFmtId="2" xfId="0" applyAlignment="1" applyBorder="1" applyFill="1" applyFont="1" applyNumberFormat="1">
      <alignment readingOrder="0"/>
    </xf>
    <xf borderId="7" fillId="14" fontId="5" numFmtId="2" xfId="0" applyAlignment="1" applyBorder="1" applyFill="1" applyFont="1" applyNumberFormat="1">
      <alignment readingOrder="0"/>
    </xf>
    <xf borderId="7" fillId="4" fontId="10" numFmtId="2" xfId="0" applyAlignment="1" applyBorder="1" applyFill="1" applyFont="1" applyNumberFormat="1">
      <alignment horizontal="center" vertical="center"/>
    </xf>
    <xf borderId="7" fillId="11" fontId="11" numFmtId="2" xfId="0" applyAlignment="1" applyBorder="1" applyFill="1" applyFont="1" applyNumberFormat="1">
      <alignment horizontal="center" vertical="center"/>
    </xf>
    <xf borderId="7" fillId="15" fontId="5" numFmtId="2" xfId="0" applyAlignment="1" applyBorder="1" applyFill="1" applyFont="1" applyNumberFormat="1">
      <alignment horizontal="center" readingOrder="0" vertical="center"/>
    </xf>
    <xf borderId="7" fillId="5" fontId="12" numFmtId="2" xfId="0" applyAlignment="1" applyBorder="1" applyFill="1" applyFont="1" applyNumberFormat="1">
      <alignment horizontal="center" vertical="center"/>
    </xf>
    <xf borderId="7" fillId="16" fontId="5" numFmtId="2" xfId="0" applyAlignment="1" applyBorder="1" applyFill="1" applyFont="1" applyNumberFormat="1">
      <alignment readingOrder="0"/>
    </xf>
    <xf borderId="7" fillId="16" fontId="5" numFmtId="0" xfId="0" applyAlignment="1" applyBorder="1" applyFill="1" applyFont="1">
      <alignment horizontal="center" vertical="center"/>
    </xf>
    <xf borderId="7" fillId="6" fontId="13" numFmtId="2" xfId="0" applyAlignment="1" applyBorder="1" applyFill="1" applyFont="1" applyNumberFormat="1">
      <alignment horizontal="center" vertical="center"/>
    </xf>
    <xf borderId="7" fillId="17" fontId="5" numFmtId="2" xfId="0" applyAlignment="1" applyBorder="1" applyFill="1" applyFont="1" applyNumberFormat="1">
      <alignment horizontal="center" readingOrder="0" vertical="center"/>
    </xf>
    <xf borderId="7" fillId="17" fontId="5" numFmtId="2" xfId="0" applyAlignment="1" applyBorder="1" applyFill="1" applyFont="1" applyNumberFormat="1">
      <alignment horizontal="center" vertical="center"/>
    </xf>
    <xf borderId="7" fillId="7" fontId="14" numFmtId="2" xfId="0" applyAlignment="1" applyBorder="1" applyFill="1" applyFont="1" applyNumberFormat="1">
      <alignment horizontal="center" vertical="center"/>
    </xf>
    <xf borderId="7" fillId="18" fontId="5" numFmtId="2" xfId="0" applyAlignment="1" applyBorder="1" applyFill="1" applyFont="1" applyNumberFormat="1">
      <alignment horizontal="center" readingOrder="0" vertical="center"/>
    </xf>
    <xf borderId="7" fillId="8" fontId="15" numFmtId="2" xfId="0" applyAlignment="1" applyBorder="1" applyFill="1" applyFont="1" applyNumberFormat="1">
      <alignment horizontal="center" vertical="center"/>
    </xf>
    <xf borderId="7" fillId="22" fontId="5" numFmtId="2" xfId="0" applyAlignment="1" applyBorder="1" applyFill="1" applyFont="1" applyNumberFormat="1">
      <alignment horizontal="center" readingOrder="0" vertical="center"/>
    </xf>
    <xf borderId="7" fillId="19" fontId="5" numFmtId="2" xfId="0" applyAlignment="1" applyBorder="1" applyFill="1" applyFont="1" applyNumberFormat="1">
      <alignment horizontal="center" readingOrder="0" vertical="center"/>
    </xf>
    <xf borderId="7" fillId="20" fontId="5" numFmtId="2" xfId="0" applyAlignment="1" applyBorder="1" applyFill="1" applyFont="1" applyNumberFormat="1">
      <alignment horizontal="center" readingOrder="0" vertical="center"/>
    </xf>
    <xf borderId="7" fillId="10" fontId="9" numFmtId="2" xfId="0" applyAlignment="1" applyBorder="1" applyFill="1" applyFont="1" applyNumberFormat="1">
      <alignment horizontal="center" readingOrder="0" vertical="center"/>
    </xf>
    <xf borderId="7" fillId="0" fontId="5" numFmtId="1" xfId="0" applyAlignment="1" applyBorder="1" applyFont="1" applyNumberFormat="1">
      <alignment horizontal="center" vertical="center"/>
    </xf>
    <xf borderId="7" fillId="11" fontId="10" numFmtId="1" xfId="0" applyAlignment="1" applyBorder="1" applyFill="1" applyFont="1" applyNumberFormat="1">
      <alignment horizontal="center" vertical="center"/>
    </xf>
    <xf borderId="13" fillId="14" fontId="5" numFmtId="2" xfId="0" applyAlignment="1" applyBorder="1" applyFill="1" applyFont="1" applyNumberFormat="1">
      <alignment readingOrder="0"/>
    </xf>
    <xf borderId="7" fillId="15" fontId="16" numFmtId="2" xfId="0" applyAlignment="1" applyBorder="1" applyFill="1" applyFont="1" applyNumberFormat="1">
      <alignment horizontal="center" readingOrder="0" vertical="center"/>
    </xf>
    <xf borderId="7" fillId="12" fontId="17" numFmtId="2" xfId="0" applyAlignment="1" applyBorder="1" applyFill="1" applyFont="1" applyNumberFormat="1">
      <alignment readingOrder="0"/>
    </xf>
    <xf borderId="7" fillId="13" fontId="17" numFmtId="2" xfId="0" applyAlignment="1" applyBorder="1" applyFill="1" applyFont="1" applyNumberFormat="1">
      <alignment readingOrder="0"/>
    </xf>
    <xf borderId="7" fillId="16" fontId="16" numFmtId="2" xfId="0" applyAlignment="1" applyBorder="1" applyFill="1" applyFont="1" applyNumberFormat="1">
      <alignment readingOrder="0"/>
    </xf>
    <xf borderId="0" fillId="0" fontId="18" numFmtId="164" xfId="0" applyAlignment="1" applyFont="1" applyNumberFormat="1">
      <alignment horizontal="right" readingOrder="0" shrinkToFit="0" vertical="bottom" wrapText="0"/>
    </xf>
    <xf borderId="7" fillId="11" fontId="10" numFmtId="1" xfId="0" applyAlignment="1" applyBorder="1" applyFill="1" applyFont="1" applyNumberFormat="1">
      <alignment horizontal="center" readingOrder="0" vertical="center"/>
    </xf>
    <xf borderId="0" fillId="0" fontId="19" numFmtId="2" xfId="0" applyAlignment="1" applyFont="1" applyNumberFormat="1">
      <alignment readingOrder="0"/>
    </xf>
    <xf borderId="7" fillId="16" fontId="20" numFmtId="2" xfId="0" applyAlignment="1" applyBorder="1" applyFill="1" applyFont="1" applyNumberFormat="1">
      <alignment readingOrder="0"/>
    </xf>
    <xf borderId="7" fillId="16" fontId="21" numFmtId="2" xfId="0" applyAlignment="1" applyBorder="1" applyFill="1" applyFont="1" applyNumberFormat="1">
      <alignment readingOrder="0"/>
    </xf>
    <xf borderId="14" fillId="0" fontId="5" numFmtId="0" xfId="0" applyBorder="1" applyFont="1"/>
    <xf borderId="14" fillId="0" fontId="5" numFmtId="0" xfId="0" applyAlignment="1" applyBorder="1" applyFont="1">
      <alignment horizontal="center" vertical="center"/>
    </xf>
    <xf borderId="13" fillId="12" fontId="5" numFmtId="2" xfId="0" applyAlignment="1" applyBorder="1" applyFill="1" applyFont="1" applyNumberFormat="1">
      <alignment readingOrder="0"/>
    </xf>
    <xf borderId="13" fillId="13" fontId="5" numFmtId="2" xfId="0" applyAlignment="1" applyBorder="1" applyFill="1" applyFont="1" applyNumberFormat="1">
      <alignment readingOrder="0"/>
    </xf>
    <xf borderId="13" fillId="4" fontId="10" numFmtId="2" xfId="0" applyAlignment="1" applyBorder="1" applyFill="1" applyFont="1" applyNumberFormat="1">
      <alignment horizontal="center" vertical="center"/>
    </xf>
    <xf borderId="13" fillId="11" fontId="22" numFmtId="2" xfId="0" applyAlignment="1" applyBorder="1" applyFill="1" applyFont="1" applyNumberFormat="1">
      <alignment horizontal="center" vertical="center"/>
    </xf>
    <xf borderId="13" fillId="15" fontId="5" numFmtId="2" xfId="0" applyAlignment="1" applyBorder="1" applyFill="1" applyFont="1" applyNumberFormat="1">
      <alignment horizontal="center" readingOrder="0" vertical="center"/>
    </xf>
    <xf borderId="13" fillId="5" fontId="23" numFmtId="2" xfId="0" applyAlignment="1" applyBorder="1" applyFill="1" applyFont="1" applyNumberFormat="1">
      <alignment horizontal="center" vertical="center"/>
    </xf>
    <xf borderId="13" fillId="16" fontId="5" numFmtId="2" xfId="0" applyAlignment="1" applyBorder="1" applyFill="1" applyFont="1" applyNumberFormat="1">
      <alignment readingOrder="0"/>
    </xf>
    <xf borderId="13" fillId="16" fontId="5" numFmtId="0" xfId="0" applyAlignment="1" applyBorder="1" applyFill="1" applyFont="1">
      <alignment horizontal="center" vertical="center"/>
    </xf>
    <xf borderId="13" fillId="6" fontId="24" numFmtId="2" xfId="0" applyAlignment="1" applyBorder="1" applyFill="1" applyFont="1" applyNumberFormat="1">
      <alignment horizontal="center" vertical="center"/>
    </xf>
    <xf borderId="13" fillId="17" fontId="5" numFmtId="2" xfId="0" applyAlignment="1" applyBorder="1" applyFill="1" applyFont="1" applyNumberFormat="1">
      <alignment horizontal="center" vertical="center"/>
    </xf>
    <xf borderId="13" fillId="7" fontId="25" numFmtId="2" xfId="0" applyAlignment="1" applyBorder="1" applyFill="1" applyFont="1" applyNumberFormat="1">
      <alignment horizontal="center" vertical="center"/>
    </xf>
    <xf borderId="13" fillId="8" fontId="26" numFmtId="2" xfId="0" applyAlignment="1" applyBorder="1" applyFill="1" applyFont="1" applyNumberFormat="1">
      <alignment horizontal="center" vertical="center"/>
    </xf>
    <xf borderId="13" fillId="22" fontId="5" numFmtId="2" xfId="0" applyAlignment="1" applyBorder="1" applyFill="1" applyFont="1" applyNumberFormat="1">
      <alignment horizontal="center" readingOrder="0" vertical="center"/>
    </xf>
    <xf borderId="13" fillId="19" fontId="5" numFmtId="2" xfId="0" applyAlignment="1" applyBorder="1" applyFill="1" applyFont="1" applyNumberFormat="1">
      <alignment horizontal="center" readingOrder="0" vertical="center"/>
    </xf>
    <xf borderId="13" fillId="20" fontId="5" numFmtId="2" xfId="0" applyAlignment="1" applyBorder="1" applyFill="1" applyFont="1" applyNumberFormat="1">
      <alignment horizontal="center" readingOrder="0" vertical="center"/>
    </xf>
    <xf borderId="14" fillId="0" fontId="5" numFmtId="1" xfId="0" applyAlignment="1" applyBorder="1" applyFont="1" applyNumberFormat="1">
      <alignment horizontal="center" vertical="center"/>
    </xf>
    <xf borderId="13" fillId="11" fontId="10" numFmtId="1" xfId="0" applyAlignment="1" applyBorder="1" applyFill="1" applyFont="1" applyNumberFormat="1">
      <alignment horizontal="center" vertical="center"/>
    </xf>
    <xf borderId="7" fillId="0" fontId="5" numFmtId="2" xfId="0" applyAlignment="1" applyBorder="1" applyFont="1" applyNumberFormat="1">
      <alignment readingOrder="0"/>
    </xf>
    <xf borderId="7" fillId="0" fontId="5" numFmtId="0" xfId="0" applyAlignment="1" applyBorder="1" applyFont="1">
      <alignment readingOrder="0"/>
    </xf>
    <xf borderId="13" fillId="17" fontId="5" numFmtId="2" xfId="0" applyAlignment="1" applyBorder="1" applyFill="1" applyFont="1" applyNumberFormat="1">
      <alignment horizontal="center" readingOrder="0" vertical="center"/>
    </xf>
    <xf borderId="7" fillId="0" fontId="5" numFmtId="2" xfId="0" applyAlignment="1" applyBorder="1" applyFont="1" applyNumberFormat="1">
      <alignment horizontal="center" readingOrder="0"/>
    </xf>
    <xf borderId="0" fillId="0" fontId="5" numFmtId="0" xfId="0" applyFont="1"/>
    <xf borderId="0" fillId="0" fontId="5" numFmtId="0" xfId="0" applyAlignment="1" applyFont="1">
      <alignment horizontal="center" vertical="center"/>
    </xf>
    <xf borderId="0" fillId="0" fontId="5" numFmtId="0" xfId="0" applyAlignment="1" applyFont="1">
      <alignment readingOrder="0"/>
    </xf>
    <xf borderId="0" fillId="13" fontId="5" numFmtId="0" xfId="0" applyAlignment="1" applyFill="1" applyFont="1">
      <alignment readingOrder="0"/>
    </xf>
    <xf borderId="0" fillId="4" fontId="10" numFmtId="0" xfId="0" applyAlignment="1" applyFill="1" applyFont="1">
      <alignment horizontal="center" vertical="center"/>
    </xf>
    <xf borderId="0" fillId="11" fontId="27" numFmtId="0" xfId="0" applyAlignment="1" applyFill="1" applyFont="1">
      <alignment horizontal="center" vertical="center"/>
    </xf>
    <xf borderId="0" fillId="15" fontId="5" numFmtId="0" xfId="0" applyAlignment="1" applyFill="1" applyFont="1">
      <alignment horizontal="center" readingOrder="0" vertical="center"/>
    </xf>
    <xf borderId="0" fillId="0" fontId="16" numFmtId="0" xfId="0" applyAlignment="1" applyFont="1">
      <alignment readingOrder="0"/>
    </xf>
    <xf borderId="0" fillId="5" fontId="28" numFmtId="0" xfId="0" applyAlignment="1" applyFill="1" applyFont="1">
      <alignment horizontal="center" vertical="center"/>
    </xf>
    <xf borderId="0" fillId="16" fontId="5" numFmtId="0" xfId="0" applyAlignment="1" applyFill="1" applyFont="1">
      <alignment horizontal="center" vertical="center"/>
    </xf>
    <xf borderId="0" fillId="6" fontId="29" numFmtId="0" xfId="0" applyAlignment="1" applyFill="1" applyFont="1">
      <alignment horizontal="center" vertical="center"/>
    </xf>
    <xf borderId="0" fillId="17" fontId="5" numFmtId="0" xfId="0" applyAlignment="1" applyFill="1" applyFont="1">
      <alignment horizontal="center" vertical="center"/>
    </xf>
    <xf borderId="0" fillId="7" fontId="30" numFmtId="0" xfId="0" applyAlignment="1" applyFill="1" applyFont="1">
      <alignment horizontal="center" vertical="center"/>
    </xf>
    <xf borderId="0" fillId="18" fontId="5" numFmtId="0" xfId="0" applyAlignment="1" applyFill="1" applyFont="1">
      <alignment horizontal="center" vertical="center"/>
    </xf>
    <xf borderId="0" fillId="8" fontId="31" numFmtId="0" xfId="0" applyAlignment="1" applyFill="1" applyFont="1">
      <alignment horizontal="center" vertical="center"/>
    </xf>
    <xf borderId="0" fillId="9" fontId="9" numFmtId="0" xfId="0" applyAlignment="1" applyFill="1" applyFont="1">
      <alignment horizontal="center" vertical="center"/>
    </xf>
    <xf borderId="0" fillId="10" fontId="8" numFmtId="0" xfId="0" applyAlignment="1" applyFill="1" applyFont="1">
      <alignment horizontal="center" vertical="center"/>
    </xf>
    <xf borderId="0" fillId="11" fontId="10" numFmtId="1" xfId="0" applyAlignment="1" applyFill="1" applyFont="1" applyNumberFormat="1">
      <alignment horizontal="center" vertical="center"/>
    </xf>
    <xf borderId="0" fillId="0" fontId="19" numFmtId="0" xfId="0" applyAlignment="1" applyFont="1">
      <alignment readingOrder="0"/>
    </xf>
    <xf borderId="3" fillId="3" fontId="3" numFmtId="4" xfId="0" applyAlignment="1" applyBorder="1" applyFill="1" applyFont="1" applyNumberFormat="1">
      <alignment horizontal="center" vertical="center"/>
    </xf>
    <xf borderId="3" fillId="6" fontId="4" numFmtId="0" xfId="0" applyAlignment="1" applyBorder="1" applyFill="1" applyFont="1">
      <alignment horizontal="center" readingOrder="0" vertical="center"/>
    </xf>
    <xf borderId="9" fillId="0" fontId="6" numFmtId="4" xfId="0" applyAlignment="1" applyBorder="1" applyFont="1" applyNumberFormat="1">
      <alignment horizontal="center" shrinkToFit="0" wrapText="1"/>
    </xf>
    <xf borderId="5" fillId="23" fontId="9" numFmtId="0" xfId="0" applyAlignment="1" applyBorder="1" applyFill="1" applyFont="1">
      <alignment readingOrder="0" vertical="bottom"/>
    </xf>
    <xf borderId="5" fillId="23" fontId="9" numFmtId="0" xfId="0" applyAlignment="1" applyBorder="1" applyFill="1" applyFont="1">
      <alignment horizontal="center" readingOrder="0"/>
    </xf>
    <xf borderId="7" fillId="2" fontId="9" numFmtId="0" xfId="0" applyAlignment="1" applyBorder="1" applyFill="1" applyFont="1">
      <alignment horizontal="center" vertical="center"/>
    </xf>
    <xf borderId="7" fillId="2" fontId="9" numFmtId="4" xfId="0" applyAlignment="1" applyBorder="1" applyFill="1" applyFont="1" applyNumberFormat="1">
      <alignment horizontal="center" vertical="center"/>
    </xf>
    <xf borderId="7" fillId="2" fontId="9" numFmtId="2" xfId="0" applyAlignment="1" applyBorder="1" applyFill="1" applyFont="1" applyNumberFormat="1">
      <alignment horizontal="center" vertical="center"/>
    </xf>
    <xf borderId="7" fillId="2" fontId="9" numFmtId="0" xfId="0" applyAlignment="1" applyBorder="1" applyFill="1" applyFont="1">
      <alignment horizontal="center" readingOrder="0" vertical="center"/>
    </xf>
    <xf borderId="7" fillId="2" fontId="9" numFmtId="1" xfId="0" applyAlignment="1" applyBorder="1" applyFill="1" applyFont="1" applyNumberFormat="1">
      <alignment horizontal="center" vertical="center"/>
    </xf>
    <xf borderId="0" fillId="24" fontId="32" numFmtId="0" xfId="0" applyAlignment="1" applyFill="1" applyFont="1">
      <alignment readingOrder="0" vertical="bottom"/>
    </xf>
    <xf borderId="0" fillId="24" fontId="21" numFmtId="0" xfId="0" applyAlignment="1" applyFill="1" applyFont="1">
      <alignment horizontal="right" readingOrder="0" vertical="bottom"/>
    </xf>
    <xf borderId="0" fillId="24" fontId="21" numFmtId="0" xfId="0" applyAlignment="1" applyFill="1" applyFont="1">
      <alignment readingOrder="0" vertical="bottom"/>
    </xf>
    <xf borderId="15" fillId="24" fontId="21" numFmtId="0" xfId="0" applyAlignment="1" applyBorder="1" applyFill="1" applyFont="1">
      <alignment horizontal="right" readingOrder="0" vertical="bottom"/>
    </xf>
    <xf borderId="7" fillId="0" fontId="5" numFmtId="4" xfId="0" applyAlignment="1" applyBorder="1" applyFont="1" applyNumberFormat="1">
      <alignment readingOrder="0"/>
    </xf>
    <xf borderId="7" fillId="16" fontId="5" numFmtId="4" xfId="0" applyAlignment="1" applyBorder="1" applyFill="1" applyFont="1" applyNumberFormat="1">
      <alignment readingOrder="0"/>
    </xf>
    <xf borderId="7" fillId="18" fontId="5" numFmtId="2" xfId="0" applyAlignment="1" applyBorder="1" applyFill="1" applyFont="1" applyNumberFormat="1">
      <alignment horizontal="center" vertical="center"/>
    </xf>
    <xf borderId="7" fillId="22" fontId="5" numFmtId="0" xfId="0" applyAlignment="1" applyBorder="1" applyFill="1" applyFont="1">
      <alignment horizontal="center" readingOrder="0" vertical="center"/>
    </xf>
    <xf borderId="7" fillId="19" fontId="5" numFmtId="0" xfId="0" applyAlignment="1" applyBorder="1" applyFill="1" applyFont="1">
      <alignment horizontal="center" readingOrder="0" vertical="center"/>
    </xf>
    <xf borderId="7" fillId="20" fontId="5" numFmtId="0" xfId="0" applyAlignment="1" applyBorder="1" applyFill="1" applyFont="1">
      <alignment horizontal="center" readingOrder="0" vertical="center"/>
    </xf>
    <xf borderId="0" fillId="23" fontId="21" numFmtId="0" xfId="0" applyAlignment="1" applyFill="1" applyFont="1">
      <alignment readingOrder="0" vertical="bottom"/>
    </xf>
    <xf borderId="0" fillId="23" fontId="21" numFmtId="0" xfId="0" applyAlignment="1" applyFill="1" applyFont="1">
      <alignment horizontal="right" readingOrder="0" vertical="bottom"/>
    </xf>
    <xf borderId="15" fillId="23" fontId="21" numFmtId="0" xfId="0" applyAlignment="1" applyBorder="1" applyFill="1" applyFont="1">
      <alignment horizontal="right" readingOrder="0" vertical="bottom"/>
    </xf>
    <xf borderId="7" fillId="25" fontId="5" numFmtId="4" xfId="0" applyAlignment="1" applyBorder="1" applyFill="1" applyFont="1" applyNumberFormat="1">
      <alignment readingOrder="0"/>
    </xf>
    <xf borderId="7" fillId="17" fontId="5" numFmtId="0" xfId="0" applyAlignment="1" applyBorder="1" applyFill="1" applyFont="1">
      <alignment horizontal="center" readingOrder="0" vertical="center"/>
    </xf>
    <xf borderId="7" fillId="15" fontId="5" numFmtId="0" xfId="0" applyAlignment="1" applyBorder="1" applyFill="1" applyFont="1">
      <alignment horizontal="center" readingOrder="0" vertical="center"/>
    </xf>
    <xf borderId="7" fillId="26" fontId="10" numFmtId="1" xfId="0" applyAlignment="1" applyBorder="1" applyFill="1" applyFont="1" applyNumberFormat="1">
      <alignment horizontal="center" vertical="center"/>
    </xf>
    <xf borderId="0" fillId="0" fontId="19" numFmtId="4" xfId="0" applyAlignment="1" applyFont="1" applyNumberFormat="1">
      <alignment readingOrder="0"/>
    </xf>
    <xf borderId="7" fillId="27" fontId="10" numFmtId="1" xfId="0" applyAlignment="1" applyBorder="1" applyFill="1" applyFont="1" applyNumberFormat="1">
      <alignment horizontal="center" vertical="center"/>
    </xf>
    <xf borderId="7" fillId="25" fontId="5" numFmtId="2" xfId="0" applyAlignment="1" applyBorder="1" applyFill="1" applyFont="1" applyNumberFormat="1">
      <alignment readingOrder="0"/>
    </xf>
    <xf borderId="7" fillId="25" fontId="5" numFmtId="2" xfId="0" applyAlignment="1" applyBorder="1" applyFill="1" applyFont="1" applyNumberFormat="1">
      <alignment horizontal="center" readingOrder="0" vertical="center"/>
    </xf>
    <xf borderId="0" fillId="23" fontId="21" numFmtId="0" xfId="0" applyAlignment="1" applyFill="1" applyFont="1">
      <alignment readingOrder="0" vertical="bottom"/>
    </xf>
    <xf borderId="0" fillId="23" fontId="21" numFmtId="0" xfId="0" applyAlignment="1" applyFill="1" applyFont="1">
      <alignment horizontal="right" readingOrder="0" vertical="bottom"/>
    </xf>
    <xf borderId="0" fillId="0" fontId="5" numFmtId="4" xfId="0" applyFont="1" applyNumberFormat="1"/>
    <xf borderId="0" fillId="12" fontId="5" numFmtId="0" xfId="0" applyAlignment="1" applyFill="1" applyFont="1">
      <alignment readingOrder="0"/>
    </xf>
    <xf borderId="0" fillId="14" fontId="5" numFmtId="0" xfId="0" applyAlignment="1" applyFill="1" applyFont="1">
      <alignment readingOrder="0"/>
    </xf>
    <xf borderId="0" fillId="12" fontId="5" numFmtId="0" xfId="0" applyFill="1" applyFont="1"/>
    <xf borderId="0" fillId="13" fontId="5" numFmtId="0" xfId="0" applyFill="1" applyFont="1"/>
    <xf borderId="0" fillId="14" fontId="5" numFmtId="0" xfId="0" applyFill="1" applyFont="1"/>
    <xf borderId="0" fillId="12" fontId="5" numFmtId="0" xfId="0" applyAlignment="1" applyFill="1" applyFont="1">
      <alignment readingOrder="0"/>
    </xf>
    <xf borderId="0" fillId="15" fontId="5" numFmtId="0" xfId="0" applyAlignment="1" applyFill="1" applyFont="1">
      <alignment horizontal="center" vertical="center"/>
    </xf>
    <xf borderId="0" fillId="16" fontId="5" numFmtId="0" xfId="0" applyAlignment="1" applyFill="1" applyFont="1">
      <alignment readingOrder="0"/>
    </xf>
    <xf borderId="0" fillId="16" fontId="5" numFmtId="0" xfId="0" applyFill="1" applyFont="1"/>
    <xf borderId="0" fillId="22" fontId="5" numFmtId="0" xfId="0" applyAlignment="1" applyFill="1" applyFont="1">
      <alignment horizontal="center" vertical="center"/>
    </xf>
    <xf borderId="0" fillId="19" fontId="5" numFmtId="0" xfId="0" applyAlignment="1" applyFill="1" applyFont="1">
      <alignment horizontal="center" vertical="center"/>
    </xf>
    <xf borderId="0" fillId="20" fontId="5" numFmtId="0" xfId="0" applyAlignment="1" applyFill="1" applyFont="1">
      <alignment horizontal="center" vertical="center"/>
    </xf>
    <xf borderId="0" fillId="11" fontId="5" numFmtId="0" xfId="0" applyAlignment="1" applyFill="1" applyFont="1">
      <alignment horizontal="center" vertical="center"/>
    </xf>
    <xf borderId="0" fillId="11" fontId="5" numFmtId="1" xfId="0" applyAlignment="1" applyFill="1" applyFont="1" applyNumberFormat="1">
      <alignment horizontal="center" vertical="center"/>
    </xf>
    <xf borderId="0" fillId="0" fontId="19" numFmtId="4" xfId="0" applyFont="1" applyNumberFormat="1"/>
    <xf borderId="3" fillId="6" fontId="4" numFmtId="0" xfId="0" applyAlignment="1" applyBorder="1" applyFill="1" applyFont="1">
      <alignment horizontal="center" readingOrder="0" shrinkToFit="0" vertical="center" wrapText="1"/>
    </xf>
    <xf borderId="3" fillId="7" fontId="4" numFmtId="2" xfId="0" applyAlignment="1" applyBorder="1" applyFill="1" applyFont="1" applyNumberFormat="1">
      <alignment horizontal="center" shrinkToFit="0" vertical="center" wrapText="1"/>
    </xf>
    <xf borderId="3" fillId="9" fontId="4" numFmtId="0" xfId="0" applyAlignment="1" applyBorder="1" applyFill="1" applyFont="1">
      <alignment horizontal="center" vertical="center"/>
    </xf>
    <xf borderId="9" fillId="0" fontId="6" numFmtId="0" xfId="0" applyAlignment="1" applyBorder="1" applyFont="1">
      <alignment horizontal="center" readingOrder="0" shrinkToFit="0" wrapText="1"/>
    </xf>
    <xf borderId="11" fillId="17" fontId="6" numFmtId="2" xfId="0" applyAlignment="1" applyBorder="1" applyFill="1" applyFont="1" applyNumberFormat="1">
      <alignment horizontal="center"/>
    </xf>
    <xf borderId="11" fillId="11" fontId="21" numFmtId="0" xfId="0" applyAlignment="1" applyBorder="1" applyFill="1" applyFont="1">
      <alignment horizontal="center" shrinkToFit="0" wrapText="1"/>
    </xf>
    <xf borderId="12" fillId="2" fontId="9" numFmtId="0" xfId="0" applyAlignment="1" applyBorder="1" applyFill="1" applyFont="1">
      <alignment horizontal="center" vertical="center"/>
    </xf>
    <xf borderId="0" fillId="24" fontId="33" numFmtId="0" xfId="0" applyAlignment="1" applyFill="1" applyFont="1">
      <alignment vertical="bottom"/>
    </xf>
    <xf borderId="0" fillId="24" fontId="33" numFmtId="0" xfId="0" applyAlignment="1" applyFill="1" applyFont="1">
      <alignment horizontal="right" vertical="bottom"/>
    </xf>
    <xf borderId="0" fillId="24" fontId="5" numFmtId="0" xfId="0" applyAlignment="1" applyFill="1" applyFont="1">
      <alignment vertical="bottom"/>
    </xf>
    <xf borderId="3" fillId="24" fontId="5" numFmtId="0" xfId="0" applyAlignment="1" applyBorder="1" applyFill="1" applyFont="1">
      <alignment horizontal="center"/>
    </xf>
    <xf borderId="7" fillId="0" fontId="5" numFmtId="164" xfId="0" applyAlignment="1" applyBorder="1" applyFont="1" applyNumberFormat="1">
      <alignment horizontal="center" readingOrder="0"/>
    </xf>
    <xf borderId="7" fillId="20" fontId="5" numFmtId="0" xfId="0" applyAlignment="1" applyBorder="1" applyFill="1" applyFont="1">
      <alignment horizontal="center" vertical="center"/>
    </xf>
    <xf borderId="7" fillId="11" fontId="34" numFmtId="1" xfId="0" applyAlignment="1" applyBorder="1" applyFill="1" applyFont="1" applyNumberFormat="1">
      <alignment horizontal="center" vertical="center"/>
    </xf>
    <xf borderId="0" fillId="23" fontId="33" numFmtId="0" xfId="0" applyAlignment="1" applyFill="1" applyFont="1">
      <alignment vertical="bottom"/>
    </xf>
    <xf borderId="0" fillId="23" fontId="33" numFmtId="0" xfId="0" applyAlignment="1" applyFill="1" applyFont="1">
      <alignment horizontal="right" vertical="bottom"/>
    </xf>
    <xf borderId="0" fillId="23" fontId="5" numFmtId="0" xfId="0" applyAlignment="1" applyFill="1" applyFont="1">
      <alignment vertical="bottom"/>
    </xf>
    <xf borderId="3" fillId="23" fontId="5" numFmtId="0" xfId="0" applyAlignment="1" applyBorder="1" applyFill="1" applyFont="1">
      <alignment horizontal="center"/>
    </xf>
    <xf borderId="7" fillId="10" fontId="21" numFmtId="2" xfId="0" applyAlignment="1" applyBorder="1" applyFill="1" applyFont="1" applyNumberFormat="1">
      <alignment horizontal="center" readingOrder="0" vertical="center"/>
    </xf>
    <xf borderId="7" fillId="11" fontId="34" numFmtId="1" xfId="0" applyAlignment="1" applyBorder="1" applyFill="1" applyFont="1" applyNumberFormat="1">
      <alignment horizontal="center" vertical="center"/>
    </xf>
    <xf borderId="7" fillId="14" fontId="5" numFmtId="0" xfId="0" applyAlignment="1" applyBorder="1" applyFill="1" applyFont="1">
      <alignment readingOrder="0"/>
    </xf>
    <xf borderId="7" fillId="0" fontId="5" numFmtId="0" xfId="0" applyAlignment="1" applyBorder="1" applyFont="1">
      <alignment horizontal="center" readingOrder="0"/>
    </xf>
    <xf borderId="0" fillId="23" fontId="33" numFmtId="0" xfId="0" applyAlignment="1" applyFill="1" applyFont="1">
      <alignment vertical="bottom"/>
    </xf>
    <xf borderId="0" fillId="23" fontId="33" numFmtId="0" xfId="0" applyAlignment="1" applyFill="1" applyFont="1">
      <alignment horizontal="right" vertical="bottom"/>
    </xf>
    <xf borderId="0" fillId="23" fontId="5" numFmtId="0" xfId="0" applyAlignment="1" applyFill="1" applyFont="1">
      <alignment vertical="bottom"/>
    </xf>
    <xf borderId="0" fillId="23" fontId="5" numFmtId="0" xfId="0" applyAlignment="1" applyFill="1" applyFont="1">
      <alignment horizontal="center"/>
    </xf>
    <xf borderId="0" fillId="0" fontId="5" numFmtId="0" xfId="0" applyAlignment="1" applyFont="1">
      <alignment horizontal="center" readingOrder="0"/>
    </xf>
    <xf borderId="0" fillId="17" fontId="5" numFmtId="2" xfId="0" applyAlignment="1" applyFill="1" applyFont="1" applyNumberFormat="1">
      <alignment horizontal="center" readingOrder="0" vertical="center"/>
    </xf>
    <xf borderId="0" fillId="18" fontId="5" numFmtId="0" xfId="0" applyAlignment="1" applyFill="1" applyFont="1">
      <alignment horizontal="center" readingOrder="0" vertical="center"/>
    </xf>
    <xf borderId="0" fillId="22" fontId="5" numFmtId="0" xfId="0" applyAlignment="1" applyFill="1" applyFont="1">
      <alignment horizontal="center" readingOrder="0" vertical="center"/>
    </xf>
    <xf borderId="0" fillId="19" fontId="5" numFmtId="0" xfId="0" applyAlignment="1" applyFill="1" applyFont="1">
      <alignment horizontal="center" readingOrder="0" vertical="center"/>
    </xf>
    <xf borderId="0" fillId="10" fontId="9" numFmtId="0" xfId="0" applyAlignment="1" applyFill="1" applyFont="1">
      <alignment horizontal="center" readingOrder="0" vertical="center"/>
    </xf>
    <xf borderId="0" fillId="11" fontId="34" numFmtId="1" xfId="0" applyAlignment="1" applyFill="1" applyFont="1" applyNumberFormat="1">
      <alignment horizontal="center" vertical="center"/>
    </xf>
    <xf borderId="0" fillId="0" fontId="19" numFmtId="2" xfId="0" applyFont="1" applyNumberFormat="1"/>
    <xf borderId="3" fillId="3" fontId="1" numFmtId="4" xfId="0" applyAlignment="1" applyBorder="1" applyFill="1" applyFont="1" applyNumberFormat="1">
      <alignment horizontal="center" readingOrder="0" vertical="center"/>
    </xf>
    <xf borderId="3" fillId="6" fontId="4" numFmtId="4" xfId="0" applyAlignment="1" applyBorder="1" applyFill="1" applyFont="1" applyNumberFormat="1">
      <alignment horizontal="center" readingOrder="0" vertical="center"/>
    </xf>
    <xf borderId="7" fillId="16" fontId="6" numFmtId="4" xfId="0" applyAlignment="1" applyBorder="1" applyFill="1" applyFont="1" applyNumberFormat="1">
      <alignment horizontal="center"/>
    </xf>
    <xf borderId="4" fillId="23" fontId="9" numFmtId="0" xfId="0" applyAlignment="1" applyBorder="1" applyFill="1" applyFont="1">
      <alignment horizontal="center" readingOrder="0"/>
    </xf>
    <xf borderId="7" fillId="16" fontId="21" numFmtId="4" xfId="0" applyAlignment="1" applyBorder="1" applyFill="1" applyFont="1" applyNumberFormat="1">
      <alignment horizontal="center" readingOrder="0"/>
    </xf>
    <xf borderId="7" fillId="25" fontId="9" numFmtId="1" xfId="0" applyAlignment="1" applyBorder="1" applyFill="1" applyFont="1" applyNumberFormat="1">
      <alignment horizontal="center" vertical="center"/>
    </xf>
    <xf borderId="15" fillId="24" fontId="21" numFmtId="0" xfId="0" applyAlignment="1" applyBorder="1" applyFill="1" applyFont="1">
      <alignment readingOrder="0" vertical="bottom"/>
    </xf>
    <xf borderId="8" fillId="24" fontId="21" numFmtId="0" xfId="0" applyAlignment="1" applyBorder="1" applyFill="1" applyFont="1">
      <alignment horizontal="right" readingOrder="0" vertical="bottom"/>
    </xf>
    <xf borderId="7" fillId="16" fontId="5" numFmtId="4" xfId="0" applyAlignment="1" applyBorder="1" applyFill="1" applyFont="1" applyNumberFormat="1">
      <alignment horizontal="center" readingOrder="0"/>
    </xf>
    <xf borderId="7" fillId="28" fontId="9" numFmtId="1" xfId="0" applyAlignment="1" applyBorder="1" applyFill="1" applyFont="1" applyNumberFormat="1">
      <alignment horizontal="center" vertical="center"/>
    </xf>
    <xf borderId="15" fillId="23" fontId="21" numFmtId="0" xfId="0" applyAlignment="1" applyBorder="1" applyFill="1" applyFont="1">
      <alignment readingOrder="0" vertical="bottom"/>
    </xf>
    <xf borderId="8" fillId="23" fontId="21" numFmtId="0" xfId="0" applyAlignment="1" applyBorder="1" applyFill="1" applyFont="1">
      <alignment horizontal="right" readingOrder="0" vertical="bottom"/>
    </xf>
    <xf borderId="7" fillId="25" fontId="5" numFmtId="4" xfId="0" applyAlignment="1" applyBorder="1" applyFill="1" applyFont="1" applyNumberFormat="1">
      <alignment horizontal="center" readingOrder="0"/>
    </xf>
    <xf borderId="0" fillId="0" fontId="19" numFmtId="4" xfId="0" applyAlignment="1" applyFont="1" applyNumberFormat="1">
      <alignment horizontal="center" readingOrder="0"/>
    </xf>
    <xf borderId="14" fillId="11" fontId="35" numFmtId="2" xfId="0" applyAlignment="1" applyBorder="1" applyFill="1" applyFont="1" applyNumberFormat="1">
      <alignment horizontal="center" vertical="center"/>
    </xf>
    <xf borderId="14" fillId="15" fontId="5" numFmtId="2" xfId="0" applyAlignment="1" applyBorder="1" applyFill="1" applyFont="1" applyNumberFormat="1">
      <alignment horizontal="center" readingOrder="0" vertical="center"/>
    </xf>
    <xf borderId="14" fillId="5" fontId="36" numFmtId="2" xfId="0" applyAlignment="1" applyBorder="1" applyFill="1" applyFont="1" applyNumberFormat="1">
      <alignment horizontal="center" vertical="center"/>
    </xf>
    <xf borderId="14" fillId="16" fontId="5" numFmtId="4" xfId="0" applyAlignment="1" applyBorder="1" applyFill="1" applyFont="1" applyNumberFormat="1">
      <alignment horizontal="center" readingOrder="0"/>
    </xf>
    <xf borderId="13" fillId="16" fontId="5" numFmtId="4" xfId="0" applyAlignment="1" applyBorder="1" applyFill="1" applyFont="1" applyNumberFormat="1">
      <alignment horizontal="center" readingOrder="0"/>
    </xf>
    <xf borderId="14" fillId="16" fontId="5" numFmtId="0" xfId="0" applyAlignment="1" applyBorder="1" applyFill="1" applyFont="1">
      <alignment horizontal="center" vertical="center"/>
    </xf>
    <xf borderId="14" fillId="6" fontId="37" numFmtId="2" xfId="0" applyAlignment="1" applyBorder="1" applyFill="1" applyFont="1" applyNumberFormat="1">
      <alignment horizontal="center" vertical="center"/>
    </xf>
    <xf borderId="14" fillId="17" fontId="5" numFmtId="2" xfId="0" applyAlignment="1" applyBorder="1" applyFill="1" applyFont="1" applyNumberFormat="1">
      <alignment horizontal="center" readingOrder="0" vertical="center"/>
    </xf>
    <xf borderId="14" fillId="17" fontId="5" numFmtId="2" xfId="0" applyAlignment="1" applyBorder="1" applyFill="1" applyFont="1" applyNumberFormat="1">
      <alignment horizontal="center" vertical="center"/>
    </xf>
    <xf borderId="14" fillId="7" fontId="38" numFmtId="2" xfId="0" applyAlignment="1" applyBorder="1" applyFill="1" applyFont="1" applyNumberFormat="1">
      <alignment horizontal="center" vertical="center"/>
    </xf>
    <xf borderId="14" fillId="8" fontId="39" numFmtId="2" xfId="0" applyAlignment="1" applyBorder="1" applyFill="1" applyFont="1" applyNumberFormat="1">
      <alignment horizontal="center" vertical="center"/>
    </xf>
    <xf borderId="13" fillId="22" fontId="5" numFmtId="0" xfId="0" applyAlignment="1" applyBorder="1" applyFill="1" applyFont="1">
      <alignment horizontal="center" readingOrder="0" vertical="center"/>
    </xf>
    <xf borderId="13" fillId="19" fontId="5" numFmtId="0" xfId="0" applyAlignment="1" applyBorder="1" applyFill="1" applyFont="1">
      <alignment horizontal="center" readingOrder="0" vertical="center"/>
    </xf>
    <xf borderId="13" fillId="20" fontId="5" numFmtId="0" xfId="0" applyAlignment="1" applyBorder="1" applyFill="1" applyFont="1">
      <alignment horizontal="center" readingOrder="0" vertical="center"/>
    </xf>
    <xf borderId="14" fillId="10" fontId="9" numFmtId="2" xfId="0" applyAlignment="1" applyBorder="1" applyFill="1" applyFont="1" applyNumberFormat="1">
      <alignment horizontal="center" readingOrder="0" vertical="center"/>
    </xf>
    <xf borderId="14" fillId="28" fontId="9" numFmtId="1" xfId="0" applyAlignment="1" applyBorder="1" applyFill="1" applyFont="1" applyNumberFormat="1">
      <alignment horizontal="center" vertical="center"/>
    </xf>
    <xf borderId="7" fillId="0" fontId="5" numFmtId="4" xfId="0" applyBorder="1" applyFont="1" applyNumberFormat="1"/>
    <xf borderId="7" fillId="4" fontId="10" numFmtId="2" xfId="0" applyAlignment="1" applyBorder="1" applyFill="1" applyFont="1" applyNumberFormat="1">
      <alignment horizontal="center" readingOrder="0" vertical="center"/>
    </xf>
    <xf borderId="7" fillId="0" fontId="5" numFmtId="4" xfId="0" applyAlignment="1" applyBorder="1" applyFont="1" applyNumberFormat="1">
      <alignment horizontal="center" readingOrder="0"/>
    </xf>
    <xf borderId="7" fillId="0" fontId="5" numFmtId="4" xfId="0" applyAlignment="1" applyBorder="1" applyFont="1" applyNumberFormat="1">
      <alignment horizontal="center"/>
    </xf>
    <xf borderId="7" fillId="16" fontId="5" numFmtId="0" xfId="0" applyAlignment="1" applyBorder="1" applyFill="1" applyFont="1">
      <alignment horizontal="center" readingOrder="0" vertical="center"/>
    </xf>
    <xf borderId="7" fillId="6" fontId="40" numFmtId="2" xfId="0" applyAlignment="1" applyBorder="1" applyFill="1" applyFont="1" applyNumberFormat="1">
      <alignment horizontal="center" readingOrder="0" vertical="center"/>
    </xf>
    <xf borderId="7" fillId="7" fontId="41" numFmtId="2" xfId="0" applyAlignment="1" applyBorder="1" applyFill="1" applyFont="1" applyNumberFormat="1">
      <alignment horizontal="center" readingOrder="0" vertical="center"/>
    </xf>
    <xf borderId="7" fillId="8" fontId="42" numFmtId="2" xfId="0" applyAlignment="1" applyBorder="1" applyFill="1" applyFont="1" applyNumberFormat="1">
      <alignment horizontal="center" readingOrder="0" vertical="center"/>
    </xf>
    <xf borderId="7" fillId="10" fontId="8" numFmtId="2" xfId="0" applyAlignment="1" applyBorder="1" applyFill="1" applyFont="1" applyNumberFormat="1">
      <alignment horizontal="center" vertical="center"/>
    </xf>
    <xf borderId="7" fillId="11" fontId="5" numFmtId="1" xfId="0" applyAlignment="1" applyBorder="1" applyFill="1" applyFont="1" applyNumberFormat="1">
      <alignment horizontal="center" vertical="center"/>
    </xf>
    <xf borderId="0" fillId="0" fontId="19" numFmtId="4" xfId="0" applyAlignment="1" applyFont="1" applyNumberFormat="1">
      <alignment horizontal="center"/>
    </xf>
    <xf borderId="3" fillId="7" fontId="4" numFmtId="0" xfId="0" applyAlignment="1" applyBorder="1" applyFill="1" applyFont="1">
      <alignment horizontal="center" vertical="center"/>
    </xf>
    <xf borderId="5" fillId="0" fontId="5" numFmtId="0" xfId="0" applyAlignment="1" applyBorder="1" applyFont="1">
      <alignment readingOrder="0"/>
    </xf>
    <xf borderId="7" fillId="0" fontId="5" numFmtId="0" xfId="0" applyAlignment="1" applyBorder="1" applyFont="1">
      <alignment horizontal="center" readingOrder="0" vertical="center"/>
    </xf>
    <xf borderId="7" fillId="0" fontId="21" numFmtId="164" xfId="0" applyAlignment="1" applyBorder="1" applyFont="1" applyNumberFormat="1">
      <alignment horizontal="right" readingOrder="0" shrinkToFit="0" vertical="bottom" wrapText="0"/>
    </xf>
    <xf borderId="7" fillId="18" fontId="5" numFmtId="0" xfId="0" applyAlignment="1" applyBorder="1" applyFill="1" applyFont="1">
      <alignment horizontal="center" readingOrder="0" vertical="center"/>
    </xf>
    <xf borderId="5" fillId="29" fontId="5" numFmtId="0" xfId="0" applyAlignment="1" applyBorder="1" applyFill="1" applyFont="1">
      <alignment readingOrder="0"/>
    </xf>
    <xf borderId="7" fillId="29" fontId="5" numFmtId="0" xfId="0" applyAlignment="1" applyBorder="1" applyFill="1" applyFont="1">
      <alignment readingOrder="0"/>
    </xf>
    <xf borderId="7" fillId="29" fontId="5" numFmtId="0" xfId="0" applyAlignment="1" applyBorder="1" applyFill="1" applyFont="1">
      <alignment horizontal="center" readingOrder="0" vertical="center"/>
    </xf>
    <xf borderId="7" fillId="29" fontId="5" numFmtId="0" xfId="0" applyBorder="1" applyFill="1" applyFont="1"/>
    <xf borderId="7" fillId="29" fontId="21" numFmtId="164" xfId="0" applyAlignment="1" applyBorder="1" applyFill="1" applyFont="1" applyNumberFormat="1">
      <alignment horizontal="right" readingOrder="0" shrinkToFit="0" vertical="bottom" wrapText="0"/>
    </xf>
    <xf borderId="7" fillId="29" fontId="5" numFmtId="164" xfId="0" applyAlignment="1" applyBorder="1" applyFill="1" applyFont="1" applyNumberFormat="1">
      <alignment readingOrder="0"/>
    </xf>
    <xf borderId="7" fillId="29" fontId="5" numFmtId="2" xfId="0" applyAlignment="1" applyBorder="1" applyFill="1" applyFont="1" applyNumberFormat="1">
      <alignment readingOrder="0"/>
    </xf>
    <xf borderId="7" fillId="29" fontId="10" numFmtId="2" xfId="0" applyAlignment="1" applyBorder="1" applyFill="1" applyFont="1" applyNumberFormat="1">
      <alignment horizontal="center" vertical="center"/>
    </xf>
    <xf borderId="7" fillId="29" fontId="43" numFmtId="2" xfId="0" applyAlignment="1" applyBorder="1" applyFill="1" applyFont="1" applyNumberFormat="1">
      <alignment horizontal="center" vertical="center"/>
    </xf>
    <xf borderId="7" fillId="29" fontId="5" numFmtId="2" xfId="0" applyAlignment="1" applyBorder="1" applyFill="1" applyFont="1" applyNumberFormat="1">
      <alignment horizontal="center" readingOrder="0" vertical="center"/>
    </xf>
    <xf borderId="7" fillId="29" fontId="5" numFmtId="0" xfId="0" applyAlignment="1" applyBorder="1" applyFill="1" applyFont="1">
      <alignment horizontal="center" vertical="center"/>
    </xf>
    <xf borderId="7" fillId="29" fontId="5" numFmtId="2" xfId="0" applyAlignment="1" applyBorder="1" applyFill="1" applyFont="1" applyNumberFormat="1">
      <alignment horizontal="center" vertical="center"/>
    </xf>
    <xf borderId="7" fillId="29" fontId="5" numFmtId="1" xfId="0" applyAlignment="1" applyBorder="1" applyFill="1" applyFont="1" applyNumberFormat="1">
      <alignment horizontal="center" vertical="center"/>
    </xf>
    <xf borderId="14" fillId="0" fontId="5" numFmtId="0" xfId="0" applyAlignment="1" applyBorder="1" applyFont="1">
      <alignment readingOrder="0"/>
    </xf>
    <xf borderId="14" fillId="0" fontId="5" numFmtId="0" xfId="0" applyAlignment="1" applyBorder="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readingOrder="0"/>
    </xf>
    <xf borderId="0" fillId="17" fontId="5" numFmtId="0" xfId="0" applyAlignment="1" applyFill="1" applyFont="1">
      <alignment horizontal="center" readingOrder="0" vertical="center"/>
    </xf>
    <xf borderId="0" fillId="16" fontId="5" numFmtId="0" xfId="0" applyAlignment="1" applyFill="1" applyFont="1">
      <alignment readingOrder="0"/>
    </xf>
    <xf borderId="0" fillId="16" fontId="5" numFmtId="165" xfId="0" applyAlignment="1" applyFill="1" applyFont="1" applyNumberFormat="1">
      <alignment horizontal="center" vertical="center"/>
    </xf>
    <xf borderId="7" fillId="0" fontId="44" numFmtId="2" xfId="0" applyAlignment="1" applyBorder="1" applyFont="1" applyNumberFormat="1">
      <alignment readingOrder="0" shrinkToFit="0" vertical="bottom" wrapText="0"/>
    </xf>
    <xf borderId="7" fillId="16" fontId="5" numFmtId="0" xfId="0" applyAlignment="1" applyBorder="1" applyFill="1" applyFont="1">
      <alignment readingOrder="0"/>
    </xf>
    <xf borderId="7" fillId="0" fontId="44" numFmtId="0" xfId="0" applyAlignment="1" applyBorder="1" applyFont="1">
      <alignment readingOrder="0" shrinkToFit="0" vertical="bottom" wrapText="0"/>
    </xf>
    <xf borderId="7" fillId="0" fontId="45" numFmtId="2" xfId="0" applyAlignment="1" applyBorder="1" applyFont="1" applyNumberFormat="1">
      <alignment readingOrder="0" shrinkToFit="0" vertical="bottom" wrapText="0"/>
    </xf>
    <xf borderId="7" fillId="11" fontId="5" numFmtId="164" xfId="0" applyAlignment="1" applyBorder="1" applyFill="1" applyFont="1" applyNumberFormat="1">
      <alignment readingOrder="0"/>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font/>
      <fill>
        <patternFill patternType="solid">
          <fgColor rgb="FF00B050"/>
          <bgColor rgb="FF00B050"/>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FFF2CC"/>
          <bgColor rgb="FFFFF2CC"/>
        </patternFill>
      </fill>
      <border/>
    </dxf>
    <dxf>
      <font/>
      <fill>
        <patternFill patternType="solid">
          <fgColor rgb="FFB7E1CD"/>
          <bgColor rgb="FFB7E1CD"/>
        </patternFill>
      </fill>
      <border/>
    </dxf>
  </dxfs>
  <tableStyles count="6">
    <tableStyle count="3" pivot="0" name="P101-style">
      <tableStyleElement dxfId="1" type="headerRow"/>
      <tableStyleElement dxfId="2" type="firstRowStripe"/>
      <tableStyleElement dxfId="3" type="secondRowStripe"/>
    </tableStyle>
    <tableStyle count="3" pivot="0" name="P102-style">
      <tableStyleElement dxfId="1" type="headerRow"/>
      <tableStyleElement dxfId="2" type="firstRowStripe"/>
      <tableStyleElement dxfId="3" type="secondRowStripe"/>
    </tableStyle>
    <tableStyle count="3" pivot="0" name="P103-style">
      <tableStyleElement dxfId="1" type="headerRow"/>
      <tableStyleElement dxfId="2" type="firstRowStripe"/>
      <tableStyleElement dxfId="3" type="secondRowStripe"/>
    </tableStyle>
    <tableStyle count="3" pivot="0" name="P104-style">
      <tableStyleElement dxfId="1" type="headerRow"/>
      <tableStyleElement dxfId="2" type="firstRowStripe"/>
      <tableStyleElement dxfId="3" type="secondRowStripe"/>
    </tableStyle>
    <tableStyle count="3" pivot="0" name="P105-style">
      <tableStyleElement dxfId="1" type="headerRow"/>
      <tableStyleElement dxfId="2" type="firstRowStripe"/>
      <tableStyleElement dxfId="3" type="secondRowStripe"/>
    </tableStyle>
    <tableStyle count="3" pivot="0" name="P10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worksheet" Target="worksheets/sheet6.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5.xml"/><Relationship Id="rId14" Type="http://schemas.microsoft.com/office/2007/relationships/slicerCache" Target="slicerCaches/slicerCache4.xml"/><Relationship Id="rId16" Type="http://schemas.microsoft.com/office/2007/relationships/slicerCache" Target="slicerCaches/slicerCache6.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1" name="Grupo_1"/>
            <xdr:cNvGraphicFramePr/>
          </xdr:nvGraphicFramePr>
          <xdr:xfrm>
            <a:off x="0" y="0"/>
            <a:ext cx="0" cy="0"/>
          </xdr:xfrm>
          <a:graphic>
            <a:graphicData uri="http://schemas.microsoft.com/office/drawing/2010/slicer">
              <x3Unk:slicer name="Grup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2" name="Grupo_2"/>
            <xdr:cNvGraphicFramePr/>
          </xdr:nvGraphicFramePr>
          <xdr:xfrm>
            <a:off x="0" y="0"/>
            <a:ext cx="0" cy="0"/>
          </xdr:xfrm>
          <a:graphic>
            <a:graphicData uri="http://schemas.microsoft.com/office/drawing/2010/slicer">
              <x3Unk:slicer name="Grup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3" name="Grupo_3"/>
            <xdr:cNvGraphicFramePr/>
          </xdr:nvGraphicFramePr>
          <xdr:xfrm>
            <a:off x="0" y="0"/>
            <a:ext cx="0" cy="0"/>
          </xdr:xfrm>
          <a:graphic>
            <a:graphicData uri="http://schemas.microsoft.com/office/drawing/2010/slicer">
              <x3Unk:slicer name="Grupo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4" name="Grupo_4"/>
            <xdr:cNvGraphicFramePr/>
          </xdr:nvGraphicFramePr>
          <xdr:xfrm>
            <a:off x="0" y="0"/>
            <a:ext cx="0" cy="0"/>
          </xdr:xfrm>
          <a:graphic>
            <a:graphicData uri="http://schemas.microsoft.com/office/drawing/2010/slicer">
              <x3Unk:slicer name="Grupo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5" name="Grupo_5"/>
            <xdr:cNvGraphicFramePr/>
          </xdr:nvGraphicFramePr>
          <xdr:xfrm>
            <a:off x="0" y="0"/>
            <a:ext cx="0" cy="0"/>
          </xdr:xfrm>
          <a:graphic>
            <a:graphicData uri="http://schemas.microsoft.com/office/drawing/2010/slicer">
              <x3Unk:slicer name="Grupo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4381500" cy="2857500"/>
    <mc:AlternateContent>
      <mc:Choice Requires="sle15">
        <xdr:graphicFrame>
          <xdr:nvGraphicFramePr>
            <xdr:cNvPr id="6" name="Grupo_6"/>
            <xdr:cNvGraphicFramePr/>
          </xdr:nvGraphicFramePr>
          <xdr:xfrm>
            <a:off x="0" y="0"/>
            <a:ext cx="0" cy="0"/>
          </xdr:xfrm>
          <a:graphic>
            <a:graphicData uri="http://schemas.microsoft.com/office/drawing/2010/slicer">
              <x3Unk:slicer name="Grupo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Grupo">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Grupo">
  <x14:extLst>
    <ext uri="{2F2917AC-EB37-4324-AD4E-5DD8C200BD13}">
      <x15:tableSlicerCache tableId="2"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4" sourceName="Grupo">
  <x14:extLst>
    <ext uri="{2F2917AC-EB37-4324-AD4E-5DD8C200BD13}">
      <x15:tableSlicerCache tableId="3"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4" sourceName="Grupo">
  <x14:extLst>
    <ext uri="{2F2917AC-EB37-4324-AD4E-5DD8C200BD13}">
      <x15:tableSlicerCache tableId="4" column="4"/>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4" sourceName="Grupo">
  <x14:extLst>
    <ext uri="{2F2917AC-EB37-4324-AD4E-5DD8C200BD13}">
      <x15:tableSlicerCache tableId="5" column="4"/>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6_Col_4" sourceName="Grupo">
  <x14:extLst>
    <ext uri="{2F2917AC-EB37-4324-AD4E-5DD8C200BD13}">
      <x15:tableSlicerCache tableId="6"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1" cache="SlicerCache_Table_1_Col_4" caption="Grupo"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2" cache="SlicerCache_Table_2_Col_4" caption="Grupo"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3" cache="SlicerCache_Table_3_Col_4" caption="Grupo"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4" cache="SlicerCache_Table_4_Col_4" caption="Grupo" rowHeight="247650"/>
</x14:slicers>
</file>

<file path=xl/slicers/slicer5.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5" cache="SlicerCache_Table_5_Col_4" caption="Grupo" rowHeight="247650"/>
</x14:slicers>
</file>

<file path=xl/slicers/slicer6.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upo_6" cache="SlicerCache_Table_6_Col_4" caption="Grupo" rowHeight="247650"/>
</x14:slicers>
</file>

<file path=xl/tables/table1.xml><?xml version="1.0" encoding="utf-8"?>
<table xmlns="http://schemas.openxmlformats.org/spreadsheetml/2006/main" ref="A2:AR55" displayName="Table_1" name="Table_1" id="1">
  <autoFilter ref="$A$2:$AR$55"/>
  <tableColumns count="44">
    <tableColumn name="Correo" id="1"/>
    <tableColumn name="Número de Matrícula" id="2"/>
    <tableColumn name="Apellidos y Nombres" id="3"/>
    <tableColumn name="Grupo" id="4"/>
    <tableColumn name="Vez" id="5"/>
    <tableColumn name="WF1 (APE)" id="6"/>
    <tableColumn name="WF2 (AVANCE)" id="7"/>
    <tableColumn name="WF3 (FINALES)"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1-style" showColumnStripes="0" showFirstColumn="1" showLastColumn="1" showRowStripes="1"/>
</table>
</file>

<file path=xl/tables/table2.xml><?xml version="1.0" encoding="utf-8"?>
<table xmlns="http://schemas.openxmlformats.org/spreadsheetml/2006/main" ref="A2:AR47" displayName="Table_2" name="Table_2" id="2">
  <autoFilter ref="$A$2:$AR$47"/>
  <tableColumns count="44">
    <tableColumn name="Correo" id="1"/>
    <tableColumn name="Número de Matrícula" id="2"/>
    <tableColumn name="Apellidos y Nombres" id="3"/>
    <tableColumn name="Grupo" id="4"/>
    <tableColumn name="Vez" id="5"/>
    <tableColumn name="WF1 (APE)" id="6"/>
    <tableColumn name="WF2 (AVANCE)" id="7"/>
    <tableColumn name="WF3 (FINALES)"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2-style" showColumnStripes="0" showFirstColumn="1" showLastColumn="1" showRowStripes="1"/>
</table>
</file>

<file path=xl/tables/table3.xml><?xml version="1.0" encoding="utf-8"?>
<table xmlns="http://schemas.openxmlformats.org/spreadsheetml/2006/main" ref="A2:AR52" displayName="Table_3" name="Table_3" id="3">
  <autoFilter ref="$A$2:$AR$52"/>
  <tableColumns count="44">
    <tableColumn name="Correo" id="1"/>
    <tableColumn name="Número de Matrícula" id="2"/>
    <tableColumn name="Apellidos y Nombres" id="3"/>
    <tableColumn name="Grupo" id="4"/>
    <tableColumn name="Vez" id="5"/>
    <tableColumn name="WF1 (APE)" id="6"/>
    <tableColumn name="WF2 (AVANCE)" id="7"/>
    <tableColumn name="WF3 (Reporte)"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3-style" showColumnStripes="0" showFirstColumn="1" showLastColumn="1" showRowStripes="1"/>
</table>
</file>

<file path=xl/tables/table4.xml><?xml version="1.0" encoding="utf-8"?>
<table xmlns="http://schemas.openxmlformats.org/spreadsheetml/2006/main" ref="A2:AR54" displayName="Table_4" name="Table_4" id="4">
  <autoFilter ref="$A$2:$AR$54"/>
  <tableColumns count="44">
    <tableColumn name="Correo" id="1"/>
    <tableColumn name="Número de Matrícula" id="2"/>
    <tableColumn name="Apellidos y Nombres" id="3"/>
    <tableColumn name="Grupo" id="4"/>
    <tableColumn name="Vez" id="5"/>
    <tableColumn name="WF1 (APE)" id="6"/>
    <tableColumn name="WF2 (AVANCE)" id="7"/>
    <tableColumn name="WF3 (FINALES)"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4-style" showColumnStripes="0" showFirstColumn="1" showLastColumn="1" showRowStripes="1"/>
</table>
</file>

<file path=xl/tables/table5.xml><?xml version="1.0" encoding="utf-8"?>
<table xmlns="http://schemas.openxmlformats.org/spreadsheetml/2006/main" ref="A2:AR53" displayName="Table_5" name="Table_5" id="5">
  <autoFilter ref="$A$2:$AR$53"/>
  <tableColumns count="44">
    <tableColumn name="Correo" id="1"/>
    <tableColumn name="Número de Matrícula" id="2"/>
    <tableColumn name="Apellidos y Nombres" id="3"/>
    <tableColumn name="Grupo" id="4"/>
    <tableColumn name="Vez" id="5"/>
    <tableColumn name="WF1 (APE)" id="6"/>
    <tableColumn name="WF2 (AVANCE)" id="7"/>
    <tableColumn name="WF3 (FINALES)"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5-style" showColumnStripes="0" showFirstColumn="1" showLastColumn="1" showRowStripes="1"/>
</table>
</file>

<file path=xl/tables/table6.xml><?xml version="1.0" encoding="utf-8"?>
<table xmlns="http://schemas.openxmlformats.org/spreadsheetml/2006/main" ref="A2:AR53" displayName="Table_6" name="Table_6" id="6">
  <autoFilter ref="$A$2:$AR$53"/>
  <tableColumns count="44">
    <tableColumn name="Correo" id="1"/>
    <tableColumn name="Número de Matrícula" id="2"/>
    <tableColumn name="Apellidos y Nombres" id="3"/>
    <tableColumn name="Grupo" id="4"/>
    <tableColumn name="Vez" id="5"/>
    <tableColumn name="WF1 (APE)" id="6"/>
    <tableColumn name="WF2 (AVANCE)" id="7"/>
    <tableColumn name="WF3 (FINALES)" id="8"/>
    <tableColumn name="CL1" id="9"/>
    <tableColumn name="HT1" id="10"/>
    <tableColumn name="RPAPE1" id="11"/>
    <tableColumn name="APE1" id="12"/>
    <tableColumn name="CL2" id="13"/>
    <tableColumn name="HT2" id="14"/>
    <tableColumn name="RPAPE2" id="15"/>
    <tableColumn name="APE2" id="16"/>
    <tableColumn name="CL3" id="17"/>
    <tableColumn name="HT3" id="18"/>
    <tableColumn name="RPAPE3" id="19"/>
    <tableColumn name="APE3" id="20"/>
    <tableColumn name="APE_total" id="21"/>
    <tableColumn name="AV1" id="22"/>
    <tableColumn name="AV2" id="23"/>
    <tableColumn name="AV_total" id="24"/>
    <tableColumn name="VI1" id="25"/>
    <tableColumn name="VI2" id="26"/>
    <tableColumn name="VI3" id="27"/>
    <tableColumn name="VI_STATUS" id="28"/>
    <tableColumn name="VI_TOTAL" id="29"/>
    <tableColumn name="VP1" id="30"/>
    <tableColumn name="VP2" id="31"/>
    <tableColumn name="VP_STATUS" id="32"/>
    <tableColumn name="VP_TOTAL" id="33"/>
    <tableColumn name="EV1_P" id="34"/>
    <tableColumn name="EV2_P" id="35"/>
    <tableColumn name="PROT_TOTAL" id="36"/>
    <tableColumn name="POSTER" id="37"/>
    <tableColumn name="JUR_1" id="38"/>
    <tableColumn name="JUR_2" id="39"/>
    <tableColumn name="EXP_TOTAL" id="40"/>
    <tableColumn name="REPORTE" id="41"/>
    <tableColumn name="EXP" id="42"/>
    <tableColumn name="PROY" id="43"/>
    <tableColumn name="AL ACADEMICO" id="44"/>
  </tableColumns>
  <tableStyleInfo name="P10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1.43"/>
    <col customWidth="1" min="2" max="2" width="13.43"/>
    <col customWidth="1" min="3" max="3" width="38.71"/>
    <col customWidth="1" min="4" max="4" width="6.43"/>
    <col customWidth="1" min="5" max="5" width="6.29"/>
    <col customWidth="1" min="6" max="8" width="6.71"/>
    <col customWidth="1" min="9" max="20" width="6.14"/>
    <col customWidth="1" min="21" max="21" width="8.14"/>
    <col customWidth="1" min="22" max="24" width="7.71"/>
    <col customWidth="1" min="25" max="27" width="6.57"/>
    <col customWidth="1" min="28" max="28" width="7.71"/>
    <col customWidth="1" min="29" max="29" width="7.14"/>
    <col customWidth="1" min="30" max="30" width="7.86"/>
    <col customWidth="1" min="31" max="31" width="8.43"/>
    <col customWidth="1" min="32" max="32" width="7.14"/>
    <col customWidth="1" min="33" max="33" width="6.43"/>
    <col customWidth="1" min="34" max="36" width="6.57"/>
    <col customWidth="1" min="37" max="40" width="7.0"/>
    <col customWidth="1" min="41" max="41" width="10.43"/>
    <col customWidth="1" min="42" max="44" width="7.0"/>
  </cols>
  <sheetData>
    <row r="1" ht="68.25" customHeight="1">
      <c r="D1" s="1" t="s">
        <v>0</v>
      </c>
      <c r="E1" s="2"/>
      <c r="F1" s="3" t="s">
        <v>1</v>
      </c>
      <c r="G1" s="4"/>
      <c r="H1" s="5"/>
      <c r="I1" s="6" t="s">
        <v>2</v>
      </c>
      <c r="J1" s="4"/>
      <c r="K1" s="4"/>
      <c r="L1" s="4"/>
      <c r="M1" s="4"/>
      <c r="N1" s="4"/>
      <c r="O1" s="4"/>
      <c r="P1" s="4"/>
      <c r="Q1" s="4"/>
      <c r="R1" s="4"/>
      <c r="S1" s="4"/>
      <c r="T1" s="4"/>
      <c r="U1" s="5"/>
      <c r="V1" s="7" t="s">
        <v>3</v>
      </c>
      <c r="W1" s="4"/>
      <c r="X1" s="5"/>
      <c r="Y1" s="8" t="s">
        <v>4</v>
      </c>
      <c r="Z1" s="4"/>
      <c r="AA1" s="4"/>
      <c r="AB1" s="4"/>
      <c r="AC1" s="5"/>
      <c r="AD1" s="9" t="s">
        <v>5</v>
      </c>
      <c r="AE1" s="4"/>
      <c r="AF1" s="4"/>
      <c r="AG1" s="10"/>
      <c r="AH1" s="11" t="s">
        <v>6</v>
      </c>
      <c r="AI1" s="4"/>
      <c r="AJ1" s="5"/>
      <c r="AK1" s="12" t="s">
        <v>7</v>
      </c>
      <c r="AL1" s="4"/>
      <c r="AM1" s="4"/>
      <c r="AN1" s="5"/>
      <c r="AO1" s="13" t="s">
        <v>8</v>
      </c>
      <c r="AP1" s="14" t="s">
        <v>9</v>
      </c>
      <c r="AQ1" s="4"/>
      <c r="AR1" s="5"/>
    </row>
    <row r="2" ht="29.25" customHeight="1">
      <c r="A2" s="15" t="s">
        <v>10</v>
      </c>
      <c r="B2" s="16" t="s">
        <v>11</v>
      </c>
      <c r="C2" s="16" t="s">
        <v>12</v>
      </c>
      <c r="D2" s="17" t="s">
        <v>13</v>
      </c>
      <c r="E2" s="16" t="s">
        <v>14</v>
      </c>
      <c r="F2" s="18" t="s">
        <v>15</v>
      </c>
      <c r="G2" s="18" t="s">
        <v>16</v>
      </c>
      <c r="H2" s="18" t="s">
        <v>17</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30" t="s">
        <v>34</v>
      </c>
      <c r="Z2" s="30" t="s">
        <v>35</v>
      </c>
      <c r="AA2" s="30" t="s">
        <v>36</v>
      </c>
      <c r="AB2" s="30" t="s">
        <v>37</v>
      </c>
      <c r="AC2" s="30" t="s">
        <v>38</v>
      </c>
      <c r="AD2" s="31" t="s">
        <v>39</v>
      </c>
      <c r="AE2" s="31" t="s">
        <v>40</v>
      </c>
      <c r="AF2" s="31" t="s">
        <v>41</v>
      </c>
      <c r="AG2" s="32" t="s">
        <v>42</v>
      </c>
      <c r="AH2" s="33" t="s">
        <v>43</v>
      </c>
      <c r="AI2" s="33" t="s">
        <v>44</v>
      </c>
      <c r="AJ2" s="34" t="s">
        <v>45</v>
      </c>
      <c r="AK2" s="35" t="s">
        <v>46</v>
      </c>
      <c r="AL2" s="36" t="s">
        <v>47</v>
      </c>
      <c r="AM2" s="37" t="s">
        <v>48</v>
      </c>
      <c r="AN2" s="38" t="s">
        <v>49</v>
      </c>
      <c r="AO2" s="39" t="s">
        <v>50</v>
      </c>
      <c r="AP2" s="40" t="s">
        <v>51</v>
      </c>
      <c r="AQ2" s="40" t="s">
        <v>52</v>
      </c>
      <c r="AR2" s="41" t="s">
        <v>53</v>
      </c>
    </row>
    <row r="3" ht="14.25" customHeight="1">
      <c r="A3" s="42" t="s">
        <v>54</v>
      </c>
      <c r="B3" s="43" t="s">
        <v>55</v>
      </c>
      <c r="C3" s="43" t="s">
        <v>56</v>
      </c>
      <c r="D3" s="43">
        <v>0.0</v>
      </c>
      <c r="E3" s="43">
        <v>1.0</v>
      </c>
      <c r="F3" s="43">
        <v>1.0</v>
      </c>
      <c r="G3" s="43">
        <v>1.0</v>
      </c>
      <c r="H3" s="43">
        <v>1.0</v>
      </c>
      <c r="I3" s="43">
        <v>3.0</v>
      </c>
      <c r="J3" s="43">
        <v>2.0</v>
      </c>
      <c r="K3" s="43">
        <v>5.0</v>
      </c>
      <c r="L3" s="43">
        <f>SUM('P101'!$I3:$K3)</f>
        <v>10</v>
      </c>
      <c r="M3" s="43">
        <v>3.0</v>
      </c>
      <c r="N3" s="43">
        <v>2.0</v>
      </c>
      <c r="O3" s="43">
        <v>5.0</v>
      </c>
      <c r="P3" s="43">
        <f>SUM('P101'!$M3:$O3)</f>
        <v>10</v>
      </c>
      <c r="Q3" s="43">
        <v>3.0</v>
      </c>
      <c r="R3" s="43">
        <v>2.0</v>
      </c>
      <c r="S3" s="43">
        <v>5.0</v>
      </c>
      <c r="T3" s="43">
        <f>SUM('P101'!$Q3:$S3)</f>
        <v>10</v>
      </c>
      <c r="U3" s="43">
        <f>('P101'!$L3+'P101'!$P3+'P101'!$T3)*'P101'!$F3</f>
        <v>30</v>
      </c>
      <c r="V3" s="43">
        <v>5.0</v>
      </c>
      <c r="W3" s="43">
        <v>10.0</v>
      </c>
      <c r="X3" s="44">
        <f>SUM('P101'!$V3:$W3)*'P101'!$G3</f>
        <v>15</v>
      </c>
      <c r="Y3" s="43">
        <v>2.0</v>
      </c>
      <c r="Z3" s="43">
        <v>3.0</v>
      </c>
      <c r="AA3" s="43">
        <v>5.0</v>
      </c>
      <c r="AB3" s="43" t="str">
        <f>IF(SUM('P101'!$Y3:$AA3)&gt;5.9,"SI","NO")</f>
        <v>SI</v>
      </c>
      <c r="AC3" s="43">
        <f>SUM('P101'!$Y3:$AA3)</f>
        <v>10</v>
      </c>
      <c r="AD3" s="43">
        <v>2.0</v>
      </c>
      <c r="AE3" s="43">
        <v>8.0</v>
      </c>
      <c r="AF3" s="43" t="str">
        <f>IF('P101'!$AG3&gt;5.9,"SI","NO")</f>
        <v>SI</v>
      </c>
      <c r="AG3" s="43">
        <f>SUM('P101'!$AD3:$AE3)</f>
        <v>10</v>
      </c>
      <c r="AH3" s="44">
        <v>5.0</v>
      </c>
      <c r="AI3" s="44">
        <v>5.0</v>
      </c>
      <c r="AJ3" s="44">
        <f>AVERAGE('P101'!$AH3:$AI3)*'P101'!$H3</f>
        <v>5</v>
      </c>
      <c r="AK3" s="43">
        <v>1.0</v>
      </c>
      <c r="AL3" s="45">
        <v>10.0</v>
      </c>
      <c r="AM3" s="45">
        <v>10.0</v>
      </c>
      <c r="AN3" s="46">
        <f>(('P101'!$AL3+'P101'!$AM3))*'P101'!$AK3</f>
        <v>20</v>
      </c>
      <c r="AO3" s="43">
        <v>10.0</v>
      </c>
      <c r="AP3" s="43">
        <f>SUM('P101'!$U3)</f>
        <v>30</v>
      </c>
      <c r="AQ3" s="47">
        <f>SUM(AN3,AJ3,AG3,AC3,X3,'P101'!$AO3)</f>
        <v>70</v>
      </c>
      <c r="AR3" s="47">
        <f>'P101'!$AP3+'P101'!$AQ3</f>
        <v>100</v>
      </c>
    </row>
    <row r="4" ht="14.25" customHeight="1">
      <c r="A4" s="48" t="s">
        <v>57</v>
      </c>
      <c r="B4" s="49">
        <v>2.02509725E8</v>
      </c>
      <c r="C4" s="49" t="s">
        <v>58</v>
      </c>
      <c r="D4" s="50">
        <v>7.0</v>
      </c>
      <c r="E4" s="49"/>
      <c r="F4" s="51">
        <v>1.0</v>
      </c>
      <c r="G4" s="51">
        <v>1.005037815</v>
      </c>
      <c r="H4" s="51">
        <v>1.020030601</v>
      </c>
      <c r="I4" s="52">
        <v>3.0</v>
      </c>
      <c r="J4" s="53">
        <v>0.75</v>
      </c>
      <c r="K4" s="54">
        <v>3.55</v>
      </c>
      <c r="L4" s="55">
        <f>SUM('P101'!$I4:$K4)</f>
        <v>7.3</v>
      </c>
      <c r="M4" s="52">
        <v>3.0</v>
      </c>
      <c r="N4" s="53">
        <v>2.0</v>
      </c>
      <c r="O4" s="54">
        <v>5.0</v>
      </c>
      <c r="P4" s="55">
        <f>SUM('P101'!$M4:$O4)</f>
        <v>10</v>
      </c>
      <c r="Q4" s="52">
        <v>1.5</v>
      </c>
      <c r="R4" s="53">
        <v>1.25</v>
      </c>
      <c r="S4" s="54">
        <v>0.0</v>
      </c>
      <c r="T4" s="55">
        <f>SUM('P101'!$Q4:$S4)</f>
        <v>2.75</v>
      </c>
      <c r="U4" s="56">
        <f>('P101'!$L4+'P101'!$P4+'P101'!$T4)*'P101'!$F4</f>
        <v>20.05</v>
      </c>
      <c r="V4" s="57">
        <v>4.2</v>
      </c>
      <c r="W4" s="57">
        <v>7.3</v>
      </c>
      <c r="X4" s="58">
        <f>SUM('P101'!$V4:$W4)*'P101'!$G4</f>
        <v>11.55793487</v>
      </c>
      <c r="Y4" s="59">
        <v>1.0</v>
      </c>
      <c r="Z4" s="59">
        <v>1.5</v>
      </c>
      <c r="AA4" s="59">
        <v>3.75</v>
      </c>
      <c r="AB4" s="60" t="str">
        <f>IF(SUM('P101'!$Y4:$AA4)&gt;5.9,"SI","NO")</f>
        <v>SI</v>
      </c>
      <c r="AC4" s="61">
        <f>SUM('P101'!$Y4:$AA4)</f>
        <v>6.25</v>
      </c>
      <c r="AD4" s="62">
        <v>1.5</v>
      </c>
      <c r="AE4" s="62">
        <v>0.0</v>
      </c>
      <c r="AF4" s="63" t="str">
        <f>IF('P101'!$AG4&gt;5.9,"SI","NO")</f>
        <v>NO</v>
      </c>
      <c r="AG4" s="64">
        <f>SUM('P101'!$AD4:$AE4)</f>
        <v>1.5</v>
      </c>
      <c r="AH4" s="65">
        <v>0.0</v>
      </c>
      <c r="AI4" s="65">
        <v>0.0</v>
      </c>
      <c r="AJ4" s="66">
        <f>AVERAGE('P101'!$AH4:$AI4)*'P101'!$H4</f>
        <v>0</v>
      </c>
      <c r="AK4" s="67">
        <v>0.0</v>
      </c>
      <c r="AL4" s="68">
        <v>0.0</v>
      </c>
      <c r="AM4" s="69">
        <v>0.0</v>
      </c>
      <c r="AN4" s="46">
        <f>(('P101'!$AL4+'P101'!$AM4))*'P101'!$AK4</f>
        <v>0</v>
      </c>
      <c r="AO4" s="70">
        <v>0.0</v>
      </c>
      <c r="AP4" s="71">
        <f>SUM('P101'!$U4)</f>
        <v>20.05</v>
      </c>
      <c r="AQ4" s="71">
        <f>SUM(AN4,AJ4,AG4,AC4,X4,'P101'!$AO4)</f>
        <v>19.30793487</v>
      </c>
      <c r="AR4" s="72">
        <f>'P101'!$AP4+'P101'!$AQ4</f>
        <v>39.35793487</v>
      </c>
    </row>
    <row r="5" ht="14.25" customHeight="1">
      <c r="A5" s="48" t="s">
        <v>59</v>
      </c>
      <c r="B5" s="49">
        <v>2.02314845E8</v>
      </c>
      <c r="C5" s="49" t="s">
        <v>60</v>
      </c>
      <c r="D5" s="50">
        <v>1.0</v>
      </c>
      <c r="E5" s="49"/>
      <c r="F5" s="51">
        <v>0.5</v>
      </c>
      <c r="G5" s="51">
        <v>0.5</v>
      </c>
      <c r="H5" s="51">
        <v>0.5</v>
      </c>
      <c r="I5" s="52">
        <v>0.0</v>
      </c>
      <c r="J5" s="53">
        <v>1.25</v>
      </c>
      <c r="K5" s="54">
        <v>0.0</v>
      </c>
      <c r="L5" s="55">
        <f>SUM('P101'!$I5:$K5)</f>
        <v>1.25</v>
      </c>
      <c r="M5" s="52">
        <v>0.0</v>
      </c>
      <c r="N5" s="53">
        <v>0.0</v>
      </c>
      <c r="O5" s="54">
        <v>0.0</v>
      </c>
      <c r="P5" s="55">
        <f>SUM('P101'!$M5:$O5)</f>
        <v>0</v>
      </c>
      <c r="Q5" s="52">
        <v>0.0</v>
      </c>
      <c r="R5" s="53">
        <v>1.75</v>
      </c>
      <c r="S5" s="73">
        <v>0.0</v>
      </c>
      <c r="T5" s="55">
        <f>SUM('P101'!$Q5:$S5)</f>
        <v>1.75</v>
      </c>
      <c r="U5" s="56">
        <f>('P101'!$L5+'P101'!$P5+'P101'!$T5)*'P101'!$F5</f>
        <v>1.5</v>
      </c>
      <c r="V5" s="57">
        <v>4.65</v>
      </c>
      <c r="W5" s="74">
        <v>0.0</v>
      </c>
      <c r="X5" s="58">
        <f>SUM('P101'!$V5:$W5)*'P101'!$G5</f>
        <v>2.325</v>
      </c>
      <c r="Y5" s="59">
        <v>0.0</v>
      </c>
      <c r="Z5" s="59">
        <v>0.0</v>
      </c>
      <c r="AA5" s="59">
        <v>0.0</v>
      </c>
      <c r="AB5" s="60" t="str">
        <f>IF(SUM('P101'!$Y5:$AA5)&gt;5.9,"SI","NO")</f>
        <v>NO</v>
      </c>
      <c r="AC5" s="61">
        <f>SUM('P101'!$Y5:$AA5)</f>
        <v>0</v>
      </c>
      <c r="AD5" s="62">
        <v>1.5</v>
      </c>
      <c r="AE5" s="62">
        <v>5.5</v>
      </c>
      <c r="AF5" s="63" t="str">
        <f>IF('P101'!$AG5&gt;5.9,"SI","NO")</f>
        <v>SI</v>
      </c>
      <c r="AG5" s="64">
        <f>SUM('P101'!$AD5:$AE5)</f>
        <v>7</v>
      </c>
      <c r="AH5" s="65">
        <v>4.0</v>
      </c>
      <c r="AI5" s="65">
        <v>5.0</v>
      </c>
      <c r="AJ5" s="66">
        <f>AVERAGE('P101'!$AH5:$AI5)*'P101'!$H5</f>
        <v>2.25</v>
      </c>
      <c r="AK5" s="67">
        <v>0.0</v>
      </c>
      <c r="AL5" s="68">
        <v>0.0</v>
      </c>
      <c r="AM5" s="69">
        <v>0.0</v>
      </c>
      <c r="AN5" s="46">
        <f>(('P101'!$AL5+'P101'!$AM5))*'P101'!$AK5</f>
        <v>0</v>
      </c>
      <c r="AO5" s="70">
        <v>9.75</v>
      </c>
      <c r="AP5" s="71">
        <f>SUM('P101'!$U5)</f>
        <v>1.5</v>
      </c>
      <c r="AQ5" s="71">
        <f>SUM(AN5,AJ5,AG5,AC5,X5,'P101'!$AO5)</f>
        <v>21.325</v>
      </c>
      <c r="AR5" s="72">
        <f>'P101'!$AP5+'P101'!$AQ5</f>
        <v>22.825</v>
      </c>
    </row>
    <row r="6" ht="14.25" customHeight="1">
      <c r="A6" s="48" t="s">
        <v>61</v>
      </c>
      <c r="B6" s="49">
        <v>2.02505103E8</v>
      </c>
      <c r="C6" s="49" t="s">
        <v>62</v>
      </c>
      <c r="D6" s="50">
        <v>3.0</v>
      </c>
      <c r="E6" s="49"/>
      <c r="F6" s="51">
        <v>1.004237307</v>
      </c>
      <c r="G6" s="51">
        <v>1.008154219</v>
      </c>
      <c r="H6" s="51">
        <v>0.994778032</v>
      </c>
      <c r="I6" s="52">
        <v>2.25</v>
      </c>
      <c r="J6" s="53">
        <v>1.0</v>
      </c>
      <c r="K6" s="54">
        <v>4.1</v>
      </c>
      <c r="L6" s="55">
        <f>SUM('P101'!$I6:$K6)</f>
        <v>7.35</v>
      </c>
      <c r="M6" s="52">
        <v>3.0</v>
      </c>
      <c r="N6" s="53">
        <v>2.0</v>
      </c>
      <c r="O6" s="54">
        <v>5.0</v>
      </c>
      <c r="P6" s="55">
        <f>SUM('P101'!$M6:$O6)</f>
        <v>10</v>
      </c>
      <c r="Q6" s="52">
        <v>1.5</v>
      </c>
      <c r="R6" s="53">
        <v>2.0</v>
      </c>
      <c r="S6" s="54">
        <v>0.0</v>
      </c>
      <c r="T6" s="55">
        <f>SUM('P101'!$Q6:$S6)</f>
        <v>3.5</v>
      </c>
      <c r="U6" s="56">
        <f>('P101'!$L6+'P101'!$P6+'P101'!$T6)*'P101'!$F6</f>
        <v>20.93834785</v>
      </c>
      <c r="V6" s="57">
        <v>3.25</v>
      </c>
      <c r="W6" s="57">
        <v>5.2</v>
      </c>
      <c r="X6" s="58">
        <f>SUM('P101'!$V6:$W6)*'P101'!$G6</f>
        <v>8.518903151</v>
      </c>
      <c r="Y6" s="59">
        <v>1.5</v>
      </c>
      <c r="Z6" s="59">
        <v>0.0</v>
      </c>
      <c r="AA6" s="59">
        <v>0.0</v>
      </c>
      <c r="AB6" s="60" t="str">
        <f>IF(SUM('P101'!$Y6:$AA6)&gt;5.9,"SI","NO")</f>
        <v>NO</v>
      </c>
      <c r="AC6" s="61">
        <f>SUM('P101'!$Y6:$AA6)</f>
        <v>1.5</v>
      </c>
      <c r="AD6" s="62">
        <v>1.0</v>
      </c>
      <c r="AE6" s="62">
        <v>5.25</v>
      </c>
      <c r="AF6" s="63" t="str">
        <f>IF('P101'!$AG6&gt;5.9,"SI","NO")</f>
        <v>SI</v>
      </c>
      <c r="AG6" s="64">
        <f>SUM('P101'!$AD6:$AE6)</f>
        <v>6.25</v>
      </c>
      <c r="AH6" s="65">
        <v>4.5</v>
      </c>
      <c r="AI6" s="65">
        <v>5.0</v>
      </c>
      <c r="AJ6" s="66">
        <f>AVERAGE('P101'!$AH6:$AI6)*'P101'!$H6</f>
        <v>4.725195652</v>
      </c>
      <c r="AK6" s="67">
        <v>0.0</v>
      </c>
      <c r="AL6" s="68">
        <v>0.0</v>
      </c>
      <c r="AM6" s="69">
        <v>0.0</v>
      </c>
      <c r="AN6" s="46">
        <f>(('P101'!$AL6+'P101'!$AM6))*'P101'!$AK6</f>
        <v>0</v>
      </c>
      <c r="AO6" s="70">
        <v>7.5</v>
      </c>
      <c r="AP6" s="71">
        <f>SUM('P101'!$U6)</f>
        <v>20.93834785</v>
      </c>
      <c r="AQ6" s="71">
        <f>SUM(AN6,AJ6,AG6,AC6,X6,'P101'!$AO6)</f>
        <v>28.4940988</v>
      </c>
      <c r="AR6" s="72">
        <f>'P101'!$AP6+'P101'!$AQ6</f>
        <v>49.43244665</v>
      </c>
    </row>
    <row r="7" ht="14.25" customHeight="1">
      <c r="A7" s="48" t="s">
        <v>63</v>
      </c>
      <c r="B7" s="49">
        <v>2.02215091E8</v>
      </c>
      <c r="C7" s="49" t="s">
        <v>64</v>
      </c>
      <c r="D7" s="50">
        <v>1.0</v>
      </c>
      <c r="E7" s="49"/>
      <c r="F7" s="51">
        <v>0.5</v>
      </c>
      <c r="G7" s="51">
        <v>1.069044968</v>
      </c>
      <c r="H7" s="51">
        <v>0.5</v>
      </c>
      <c r="I7" s="52">
        <v>3.0</v>
      </c>
      <c r="J7" s="53">
        <v>1.25</v>
      </c>
      <c r="K7" s="54">
        <v>0.0</v>
      </c>
      <c r="L7" s="55">
        <f>SUM('P101'!$I7:$K7)</f>
        <v>4.25</v>
      </c>
      <c r="M7" s="52">
        <v>0.0</v>
      </c>
      <c r="N7" s="53">
        <v>0.0</v>
      </c>
      <c r="O7" s="54">
        <v>0.0</v>
      </c>
      <c r="P7" s="55">
        <f>SUM('P101'!$M7:$O7)</f>
        <v>0</v>
      </c>
      <c r="Q7" s="52">
        <v>0.0</v>
      </c>
      <c r="R7" s="53">
        <v>1.75</v>
      </c>
      <c r="S7" s="73">
        <v>0.0</v>
      </c>
      <c r="T7" s="55">
        <f>SUM('P101'!$Q7:$S7)</f>
        <v>1.75</v>
      </c>
      <c r="U7" s="56">
        <f>('P101'!$L7+'P101'!$P7+'P101'!$T7)*'P101'!$F7</f>
        <v>3</v>
      </c>
      <c r="V7" s="57">
        <v>4.65</v>
      </c>
      <c r="W7" s="57">
        <v>6.8</v>
      </c>
      <c r="X7" s="58">
        <f>SUM('P101'!$V7:$W7)*'P101'!$G7</f>
        <v>12.24056488</v>
      </c>
      <c r="Y7" s="59">
        <v>2.0</v>
      </c>
      <c r="Z7" s="59">
        <v>0.0</v>
      </c>
      <c r="AA7" s="59">
        <v>0.0</v>
      </c>
      <c r="AB7" s="60" t="str">
        <f>IF(SUM('P101'!$Y7:$AA7)&gt;5.9,"SI","NO")</f>
        <v>NO</v>
      </c>
      <c r="AC7" s="61">
        <f>SUM('P101'!$Y7:$AA7)</f>
        <v>2</v>
      </c>
      <c r="AD7" s="62">
        <v>1.5</v>
      </c>
      <c r="AE7" s="62">
        <v>5.5</v>
      </c>
      <c r="AF7" s="63" t="str">
        <f>IF('P101'!$AG7&gt;5.9,"SI","NO")</f>
        <v>SI</v>
      </c>
      <c r="AG7" s="64">
        <f>SUM('P101'!$AD7:$AE7)</f>
        <v>7</v>
      </c>
      <c r="AH7" s="65">
        <v>4.0</v>
      </c>
      <c r="AI7" s="65">
        <v>5.0</v>
      </c>
      <c r="AJ7" s="66">
        <f>AVERAGE('P101'!$AH7:$AI7)*'P101'!$H7</f>
        <v>2.25</v>
      </c>
      <c r="AK7" s="67">
        <v>0.0</v>
      </c>
      <c r="AL7" s="68">
        <v>0.0</v>
      </c>
      <c r="AM7" s="69">
        <v>0.0</v>
      </c>
      <c r="AN7" s="46">
        <f>(('P101'!$AL7+'P101'!$AM7))*'P101'!$AK7</f>
        <v>0</v>
      </c>
      <c r="AO7" s="70">
        <v>9.75</v>
      </c>
      <c r="AP7" s="71">
        <f>SUM('P101'!$U7)</f>
        <v>3</v>
      </c>
      <c r="AQ7" s="71">
        <f>SUM(AN7,AJ7,AG7,AC7,X7,'P101'!$AO7)</f>
        <v>33.24056488</v>
      </c>
      <c r="AR7" s="72">
        <f>'P101'!$AP7+'P101'!$AQ7</f>
        <v>36.24056488</v>
      </c>
    </row>
    <row r="8" ht="14.25" customHeight="1">
      <c r="A8" s="48" t="s">
        <v>65</v>
      </c>
      <c r="B8" s="49">
        <v>2.02415923E8</v>
      </c>
      <c r="C8" s="49" t="s">
        <v>66</v>
      </c>
      <c r="D8" s="50">
        <v>9.0</v>
      </c>
      <c r="E8" s="49"/>
      <c r="F8" s="51">
        <v>0.98428634</v>
      </c>
      <c r="G8" s="51">
        <v>1.056398264</v>
      </c>
      <c r="H8" s="51">
        <v>0.5</v>
      </c>
      <c r="I8" s="52">
        <v>1.5</v>
      </c>
      <c r="J8" s="53">
        <v>0.0</v>
      </c>
      <c r="K8" s="54">
        <v>0.0</v>
      </c>
      <c r="L8" s="55">
        <f>SUM('P101'!$I8:$K8)</f>
        <v>1.5</v>
      </c>
      <c r="M8" s="52">
        <v>3.0</v>
      </c>
      <c r="N8" s="53">
        <v>2.0</v>
      </c>
      <c r="O8" s="54">
        <v>5.0</v>
      </c>
      <c r="P8" s="55">
        <f>SUM('P101'!$M8:$O8)</f>
        <v>10</v>
      </c>
      <c r="Q8" s="52">
        <v>1.5</v>
      </c>
      <c r="R8" s="53">
        <v>1.5</v>
      </c>
      <c r="S8" s="54">
        <v>0.0</v>
      </c>
      <c r="T8" s="55">
        <f>SUM('P101'!$Q8:$S8)</f>
        <v>3</v>
      </c>
      <c r="U8" s="56">
        <f>('P101'!$L8+'P101'!$P8+'P101'!$T8)*'P101'!$F8</f>
        <v>14.27215193</v>
      </c>
      <c r="V8" s="57">
        <v>4.55</v>
      </c>
      <c r="W8" s="57">
        <v>3.1</v>
      </c>
      <c r="X8" s="58">
        <f>SUM('P101'!$V8:$W8)*'P101'!$G8</f>
        <v>8.08144672</v>
      </c>
      <c r="Y8" s="59">
        <v>1.5</v>
      </c>
      <c r="Z8" s="59">
        <v>0.0</v>
      </c>
      <c r="AA8" s="59">
        <v>3.75</v>
      </c>
      <c r="AB8" s="60" t="str">
        <f>IF(SUM('P101'!$Y8:$AA8)&gt;5.9,"SI","NO")</f>
        <v>NO</v>
      </c>
      <c r="AC8" s="61">
        <f>SUM('P101'!$Y8:$AA8)</f>
        <v>5.25</v>
      </c>
      <c r="AD8" s="62">
        <v>1.0</v>
      </c>
      <c r="AE8" s="62">
        <v>5.0</v>
      </c>
      <c r="AF8" s="63" t="str">
        <f>IF('P101'!$AG8&gt;5.9,"SI","NO")</f>
        <v>SI</v>
      </c>
      <c r="AG8" s="64">
        <f>SUM('P101'!$AD8:$AE8)</f>
        <v>6</v>
      </c>
      <c r="AH8" s="65">
        <v>0.0</v>
      </c>
      <c r="AI8" s="65">
        <v>0.0</v>
      </c>
      <c r="AJ8" s="66">
        <f>AVERAGE('P101'!$AH8:$AI8)*'P101'!$H8</f>
        <v>0</v>
      </c>
      <c r="AK8" s="67">
        <v>0.0</v>
      </c>
      <c r="AL8" s="68">
        <v>0.0</v>
      </c>
      <c r="AM8" s="69">
        <v>0.0</v>
      </c>
      <c r="AN8" s="46">
        <f>(('P101'!$AL8+'P101'!$AM8))*'P101'!$AK8</f>
        <v>0</v>
      </c>
      <c r="AO8" s="70">
        <v>5.5</v>
      </c>
      <c r="AP8" s="71">
        <f>SUM('P101'!$U8)</f>
        <v>14.27215193</v>
      </c>
      <c r="AQ8" s="71">
        <f>SUM(AN8,AJ8,AG8,AC8,X8,'P101'!$AO8)</f>
        <v>24.83144672</v>
      </c>
      <c r="AR8" s="72">
        <f>'P101'!$AP8+'P101'!$AQ8</f>
        <v>39.10359865</v>
      </c>
    </row>
    <row r="9" ht="14.25" customHeight="1">
      <c r="A9" s="48" t="s">
        <v>67</v>
      </c>
      <c r="B9" s="49">
        <v>2.02308474E8</v>
      </c>
      <c r="C9" s="49" t="s">
        <v>68</v>
      </c>
      <c r="D9" s="50">
        <v>2.0</v>
      </c>
      <c r="E9" s="49"/>
      <c r="F9" s="51">
        <v>1.0</v>
      </c>
      <c r="G9" s="51">
        <v>1.0</v>
      </c>
      <c r="H9" s="51">
        <v>0.996627309</v>
      </c>
      <c r="I9" s="52">
        <v>2.25</v>
      </c>
      <c r="J9" s="53">
        <v>1.75</v>
      </c>
      <c r="K9" s="54">
        <v>4.65</v>
      </c>
      <c r="L9" s="55">
        <f>SUM('P101'!$I9:$K9)</f>
        <v>8.65</v>
      </c>
      <c r="M9" s="52">
        <v>3.0</v>
      </c>
      <c r="N9" s="53">
        <v>2.0</v>
      </c>
      <c r="O9" s="54">
        <v>5.0</v>
      </c>
      <c r="P9" s="55">
        <f>SUM('P101'!$M9:$O9)</f>
        <v>10</v>
      </c>
      <c r="Q9" s="52">
        <v>2.25</v>
      </c>
      <c r="R9" s="53">
        <v>1.75</v>
      </c>
      <c r="S9" s="54">
        <v>4.45</v>
      </c>
      <c r="T9" s="55">
        <f>SUM('P101'!$Q9:$S9)</f>
        <v>8.45</v>
      </c>
      <c r="U9" s="56">
        <f>('P101'!$L9+'P101'!$P9+'P101'!$T9)*'P101'!$F9</f>
        <v>27.1</v>
      </c>
      <c r="V9" s="57">
        <v>5.0</v>
      </c>
      <c r="W9" s="57">
        <v>6.8</v>
      </c>
      <c r="X9" s="58">
        <f>SUM('P101'!$V9:$W9)*'P101'!$G9</f>
        <v>11.8</v>
      </c>
      <c r="Y9" s="59">
        <v>1.0</v>
      </c>
      <c r="Z9" s="59">
        <v>1.5</v>
      </c>
      <c r="AA9" s="59">
        <v>5.0</v>
      </c>
      <c r="AB9" s="60" t="str">
        <f>IF(SUM('P101'!$Y9:$AA9)&gt;5.9,"SI","NO")</f>
        <v>SI</v>
      </c>
      <c r="AC9" s="61">
        <f>SUM('P101'!$Y9:$AA9)</f>
        <v>7.5</v>
      </c>
      <c r="AD9" s="62">
        <v>2.0</v>
      </c>
      <c r="AE9" s="62">
        <v>4.25</v>
      </c>
      <c r="AF9" s="63" t="str">
        <f>IF('P101'!$AG9&gt;5.9,"SI","NO")</f>
        <v>SI</v>
      </c>
      <c r="AG9" s="64">
        <f>SUM('P101'!$AD9:$AE9)</f>
        <v>6.25</v>
      </c>
      <c r="AH9" s="65">
        <v>5.0</v>
      </c>
      <c r="AI9" s="65">
        <v>3.5</v>
      </c>
      <c r="AJ9" s="66">
        <f>AVERAGE('P101'!$AH9:$AI9)*'P101'!$H9</f>
        <v>4.235666063</v>
      </c>
      <c r="AK9" s="67">
        <v>1.0</v>
      </c>
      <c r="AL9" s="68">
        <v>9.0</v>
      </c>
      <c r="AM9" s="69">
        <v>4.0</v>
      </c>
      <c r="AN9" s="46">
        <f>(('P101'!$AL9+'P101'!$AM9))*'P101'!$AK9</f>
        <v>13</v>
      </c>
      <c r="AO9" s="70">
        <v>8.0</v>
      </c>
      <c r="AP9" s="71">
        <f>SUM('P101'!$U9)</f>
        <v>27.1</v>
      </c>
      <c r="AQ9" s="71">
        <f>SUM(AN9,AJ9,AG9,AC9,X9,'P101'!$AO9)</f>
        <v>50.78566606</v>
      </c>
      <c r="AR9" s="72">
        <f>'P101'!$AP9+'P101'!$AQ9</f>
        <v>77.88566606</v>
      </c>
    </row>
    <row r="10" ht="14.25" customHeight="1">
      <c r="A10" s="48" t="s">
        <v>69</v>
      </c>
      <c r="B10" s="49">
        <v>2.02311577E8</v>
      </c>
      <c r="C10" s="49" t="s">
        <v>70</v>
      </c>
      <c r="D10" s="50">
        <v>6.0</v>
      </c>
      <c r="E10" s="49"/>
      <c r="F10" s="51">
        <v>1.0</v>
      </c>
      <c r="G10" s="51">
        <v>0.5</v>
      </c>
      <c r="H10" s="51">
        <v>0.97547788</v>
      </c>
      <c r="I10" s="52">
        <v>3.0</v>
      </c>
      <c r="J10" s="53">
        <v>1.25</v>
      </c>
      <c r="K10" s="54">
        <v>3.95</v>
      </c>
      <c r="L10" s="55">
        <f>SUM('P101'!$I10:$K10)</f>
        <v>8.2</v>
      </c>
      <c r="M10" s="52">
        <v>3.0</v>
      </c>
      <c r="N10" s="53">
        <v>2.0</v>
      </c>
      <c r="O10" s="54">
        <v>5.0</v>
      </c>
      <c r="P10" s="55">
        <f>SUM('P101'!$M10:$O10)</f>
        <v>10</v>
      </c>
      <c r="Q10" s="52">
        <v>2.25</v>
      </c>
      <c r="R10" s="53">
        <v>1.75</v>
      </c>
      <c r="S10" s="54">
        <v>3.95</v>
      </c>
      <c r="T10" s="55">
        <f>SUM('P101'!$Q10:$S10)</f>
        <v>7.95</v>
      </c>
      <c r="U10" s="56">
        <f>('P101'!$L10+'P101'!$P10+'P101'!$T10)*'P101'!$F10</f>
        <v>26.15</v>
      </c>
      <c r="V10" s="57">
        <v>4.9</v>
      </c>
      <c r="W10" s="57">
        <v>8.6</v>
      </c>
      <c r="X10" s="58">
        <f>SUM('P101'!$V10:$W10)*'P101'!$G10</f>
        <v>6.75</v>
      </c>
      <c r="Y10" s="59">
        <v>1.5</v>
      </c>
      <c r="Z10" s="59">
        <v>3.0</v>
      </c>
      <c r="AA10" s="59">
        <v>2.5</v>
      </c>
      <c r="AB10" s="60" t="str">
        <f>IF(SUM('P101'!$Y10:$AA10)&gt;5.9,"SI","NO")</f>
        <v>SI</v>
      </c>
      <c r="AC10" s="61">
        <f>SUM('P101'!$Y10:$AA10)</f>
        <v>7</v>
      </c>
      <c r="AD10" s="62">
        <v>1.75</v>
      </c>
      <c r="AE10" s="62">
        <v>6.0</v>
      </c>
      <c r="AF10" s="63" t="str">
        <f>IF('P101'!$AG10&gt;5.9,"SI","NO")</f>
        <v>SI</v>
      </c>
      <c r="AG10" s="64">
        <f>SUM('P101'!$AD10:$AE10)</f>
        <v>7.75</v>
      </c>
      <c r="AH10" s="65">
        <v>5.0</v>
      </c>
      <c r="AI10" s="65">
        <v>4.5</v>
      </c>
      <c r="AJ10" s="66">
        <f>AVERAGE('P101'!$AH10:$AI10)*'P101'!$H10</f>
        <v>4.63351993</v>
      </c>
      <c r="AK10" s="67">
        <v>1.0</v>
      </c>
      <c r="AL10" s="68">
        <v>1.0</v>
      </c>
      <c r="AM10" s="69">
        <v>7.0</v>
      </c>
      <c r="AN10" s="46">
        <f>(('P101'!$AL10+'P101'!$AM10))*'P101'!$AK10</f>
        <v>8</v>
      </c>
      <c r="AO10" s="70">
        <v>10.0</v>
      </c>
      <c r="AP10" s="71">
        <f>SUM('P101'!$U10)</f>
        <v>26.15</v>
      </c>
      <c r="AQ10" s="71">
        <f>SUM(AN10,AJ10,AG10,AC10,X10,'P101'!$AO10)</f>
        <v>44.13351993</v>
      </c>
      <c r="AR10" s="72">
        <f>'P101'!$AP10+'P101'!$AQ10</f>
        <v>70.28351993</v>
      </c>
    </row>
    <row r="11" ht="14.25" customHeight="1">
      <c r="A11" s="48" t="s">
        <v>71</v>
      </c>
      <c r="B11" s="49">
        <v>2.02508875E8</v>
      </c>
      <c r="C11" s="49" t="s">
        <v>72</v>
      </c>
      <c r="D11" s="50">
        <v>2.0</v>
      </c>
      <c r="E11" s="49"/>
      <c r="F11" s="51">
        <v>1.0</v>
      </c>
      <c r="G11" s="51">
        <v>1.0</v>
      </c>
      <c r="H11" s="51">
        <v>1.005037815</v>
      </c>
      <c r="I11" s="75">
        <v>1.5</v>
      </c>
      <c r="J11" s="76">
        <v>0.0</v>
      </c>
      <c r="K11" s="54">
        <v>0.0</v>
      </c>
      <c r="L11" s="55">
        <f>SUM('P101'!$I11:$K11)</f>
        <v>1.5</v>
      </c>
      <c r="M11" s="52">
        <v>3.0</v>
      </c>
      <c r="N11" s="53">
        <v>2.0</v>
      </c>
      <c r="O11" s="54">
        <v>5.0</v>
      </c>
      <c r="P11" s="55">
        <f>SUM('P101'!$M11:$O11)</f>
        <v>10</v>
      </c>
      <c r="Q11" s="52">
        <v>2.25</v>
      </c>
      <c r="R11" s="53">
        <v>1.75</v>
      </c>
      <c r="S11" s="54">
        <v>4.45</v>
      </c>
      <c r="T11" s="55">
        <f>SUM('P101'!$Q11:$S11)</f>
        <v>8.45</v>
      </c>
      <c r="U11" s="56">
        <f>('P101'!$L11+'P101'!$P11+'P101'!$T11)*'P101'!$F11</f>
        <v>19.95</v>
      </c>
      <c r="V11" s="57">
        <v>5.0</v>
      </c>
      <c r="W11" s="57">
        <v>6.8</v>
      </c>
      <c r="X11" s="58">
        <f>SUM('P101'!$V11:$W11)*'P101'!$G11</f>
        <v>11.8</v>
      </c>
      <c r="Y11" s="59">
        <v>1.0</v>
      </c>
      <c r="Z11" s="59">
        <v>3.0</v>
      </c>
      <c r="AA11" s="59">
        <v>3.75</v>
      </c>
      <c r="AB11" s="60" t="str">
        <f>IF(SUM('P101'!$Y11:$AA11)&gt;5.9,"SI","NO")</f>
        <v>SI</v>
      </c>
      <c r="AC11" s="61">
        <f>SUM('P101'!$Y11:$AA11)</f>
        <v>7.75</v>
      </c>
      <c r="AD11" s="62">
        <v>2.0</v>
      </c>
      <c r="AE11" s="62">
        <v>4.25</v>
      </c>
      <c r="AF11" s="63" t="str">
        <f>IF('P101'!$AG11&gt;5.9,"SI","NO")</f>
        <v>SI</v>
      </c>
      <c r="AG11" s="64">
        <f>SUM('P101'!$AD11:$AE11)</f>
        <v>6.25</v>
      </c>
      <c r="AH11" s="65">
        <v>5.0</v>
      </c>
      <c r="AI11" s="65">
        <v>3.5</v>
      </c>
      <c r="AJ11" s="66">
        <f>AVERAGE('P101'!$AH11:$AI11)*'P101'!$H11</f>
        <v>4.271410714</v>
      </c>
      <c r="AK11" s="67">
        <v>1.0</v>
      </c>
      <c r="AL11" s="68">
        <v>8.5</v>
      </c>
      <c r="AM11" s="69">
        <v>6.0</v>
      </c>
      <c r="AN11" s="46">
        <f>(('P101'!$AL11+'P101'!$AM11))*'P101'!$AK11</f>
        <v>14.5</v>
      </c>
      <c r="AO11" s="70">
        <v>8.0</v>
      </c>
      <c r="AP11" s="71">
        <f>SUM('P101'!$U11)</f>
        <v>19.95</v>
      </c>
      <c r="AQ11" s="71">
        <f>SUM(AN11,AJ11,AG11,AC11,X11,'P101'!$AO11)</f>
        <v>52.57141071</v>
      </c>
      <c r="AR11" s="72">
        <f>'P101'!$AP11+'P101'!$AQ11</f>
        <v>72.52141071</v>
      </c>
    </row>
    <row r="12" ht="14.25" customHeight="1">
      <c r="A12" s="48" t="s">
        <v>73</v>
      </c>
      <c r="B12" s="49">
        <v>2.0240061E8</v>
      </c>
      <c r="C12" s="49" t="s">
        <v>74</v>
      </c>
      <c r="D12" s="50">
        <v>3.0</v>
      </c>
      <c r="E12" s="49"/>
      <c r="F12" s="51">
        <v>1.004237307</v>
      </c>
      <c r="G12" s="51">
        <v>0.5</v>
      </c>
      <c r="H12" s="51">
        <v>1.020620726</v>
      </c>
      <c r="I12" s="52">
        <v>3.0</v>
      </c>
      <c r="J12" s="53">
        <v>1.0</v>
      </c>
      <c r="K12" s="54">
        <v>4.1</v>
      </c>
      <c r="L12" s="55">
        <f>SUM('P101'!$I12:$K12)</f>
        <v>8.1</v>
      </c>
      <c r="M12" s="52">
        <v>3.0</v>
      </c>
      <c r="N12" s="53">
        <v>2.0</v>
      </c>
      <c r="O12" s="54">
        <v>5.0</v>
      </c>
      <c r="P12" s="55">
        <f>SUM('P101'!$M12:$O12)</f>
        <v>10</v>
      </c>
      <c r="Q12" s="52">
        <v>2.25</v>
      </c>
      <c r="R12" s="53">
        <v>2.0</v>
      </c>
      <c r="S12" s="54">
        <v>4.7</v>
      </c>
      <c r="T12" s="55">
        <f>SUM('P101'!$Q12:$S12)</f>
        <v>8.95</v>
      </c>
      <c r="U12" s="56">
        <f>('P101'!$L12+'P101'!$P12+'P101'!$T12)*'P101'!$F12</f>
        <v>27.16461915</v>
      </c>
      <c r="V12" s="57">
        <v>3.25</v>
      </c>
      <c r="W12" s="57">
        <v>5.2</v>
      </c>
      <c r="X12" s="58">
        <f>SUM('P101'!$V12:$W12)*'P101'!$G12</f>
        <v>4.225</v>
      </c>
      <c r="Y12" s="59">
        <v>2.0</v>
      </c>
      <c r="Z12" s="59">
        <v>3.0</v>
      </c>
      <c r="AA12" s="59">
        <v>3.75</v>
      </c>
      <c r="AB12" s="60" t="str">
        <f>IF(SUM('P101'!$Y12:$AA12)&gt;5.9,"SI","NO")</f>
        <v>SI</v>
      </c>
      <c r="AC12" s="61">
        <f>SUM('P101'!$Y12:$AA12)</f>
        <v>8.75</v>
      </c>
      <c r="AD12" s="62">
        <v>1.0</v>
      </c>
      <c r="AE12" s="62">
        <v>5.25</v>
      </c>
      <c r="AF12" s="63" t="str">
        <f>IF('P101'!$AG12&gt;5.9,"SI","NO")</f>
        <v>SI</v>
      </c>
      <c r="AG12" s="64">
        <f>SUM('P101'!$AD12:$AE12)</f>
        <v>6.25</v>
      </c>
      <c r="AH12" s="65">
        <v>4.5</v>
      </c>
      <c r="AI12" s="65">
        <v>5.0</v>
      </c>
      <c r="AJ12" s="66">
        <f>AVERAGE('P101'!$AH12:$AI12)*'P101'!$H12</f>
        <v>4.847948449</v>
      </c>
      <c r="AK12" s="67">
        <v>1.0</v>
      </c>
      <c r="AL12" s="68">
        <v>7.5</v>
      </c>
      <c r="AM12" s="69">
        <v>5.5</v>
      </c>
      <c r="AN12" s="46">
        <f>(('P101'!$AL12+'P101'!$AM12))*'P101'!$AK12</f>
        <v>13</v>
      </c>
      <c r="AO12" s="70">
        <v>7.5</v>
      </c>
      <c r="AP12" s="71">
        <f>SUM('P101'!$U12)</f>
        <v>27.16461915</v>
      </c>
      <c r="AQ12" s="71">
        <f>SUM(AN12,AJ12,AG12,AC12,X12,'P101'!$AO12)</f>
        <v>44.57294845</v>
      </c>
      <c r="AR12" s="72">
        <f>'P101'!$AP12+'P101'!$AQ12</f>
        <v>71.7375676</v>
      </c>
    </row>
    <row r="13" ht="14.25" customHeight="1">
      <c r="A13" s="48" t="s">
        <v>75</v>
      </c>
      <c r="B13" s="49">
        <v>2.02310579E8</v>
      </c>
      <c r="C13" s="49" t="s">
        <v>76</v>
      </c>
      <c r="D13" s="50">
        <v>4.0</v>
      </c>
      <c r="E13" s="49"/>
      <c r="F13" s="51">
        <v>0.963952042</v>
      </c>
      <c r="G13" s="51">
        <v>0.998902907</v>
      </c>
      <c r="H13" s="51">
        <v>1.008889064</v>
      </c>
      <c r="I13" s="52">
        <v>2.25</v>
      </c>
      <c r="J13" s="53">
        <v>0.75</v>
      </c>
      <c r="K13" s="54">
        <v>4.9</v>
      </c>
      <c r="L13" s="55">
        <f>SUM('P101'!$I13:$K13)</f>
        <v>7.9</v>
      </c>
      <c r="M13" s="52">
        <v>3.0</v>
      </c>
      <c r="N13" s="53">
        <v>2.0</v>
      </c>
      <c r="O13" s="54">
        <v>5.0</v>
      </c>
      <c r="P13" s="55">
        <f>SUM('P101'!$M13:$O13)</f>
        <v>10</v>
      </c>
      <c r="Q13" s="52">
        <v>2.25</v>
      </c>
      <c r="R13" s="53">
        <v>2.0</v>
      </c>
      <c r="S13" s="54">
        <v>5.0</v>
      </c>
      <c r="T13" s="55">
        <f>SUM('P101'!$Q13:$S13)</f>
        <v>9.25</v>
      </c>
      <c r="U13" s="56">
        <f>('P101'!$L13+'P101'!$P13+'P101'!$T13)*'P101'!$F13</f>
        <v>26.17129794</v>
      </c>
      <c r="V13" s="57">
        <v>4.6</v>
      </c>
      <c r="W13" s="57">
        <v>8.3</v>
      </c>
      <c r="X13" s="58">
        <f>SUM('P101'!$V13:$W13)*'P101'!$G13</f>
        <v>12.8858475</v>
      </c>
      <c r="Y13" s="59">
        <v>1.5</v>
      </c>
      <c r="Z13" s="59">
        <v>2.0</v>
      </c>
      <c r="AA13" s="59">
        <v>3.0</v>
      </c>
      <c r="AB13" s="60" t="str">
        <f>IF(SUM('P101'!$Y13:$AA13)&gt;5.9,"SI","NO")</f>
        <v>SI</v>
      </c>
      <c r="AC13" s="61">
        <f>SUM('P101'!$Y13:$AA13)</f>
        <v>6.5</v>
      </c>
      <c r="AD13" s="62">
        <v>2.0</v>
      </c>
      <c r="AE13" s="62">
        <v>4.0</v>
      </c>
      <c r="AF13" s="63" t="str">
        <f>IF('P101'!$AG13&gt;5.9,"SI","NO")</f>
        <v>SI</v>
      </c>
      <c r="AG13" s="64">
        <f>SUM('P101'!$AD13:$AE13)</f>
        <v>6</v>
      </c>
      <c r="AH13" s="65">
        <v>4.5</v>
      </c>
      <c r="AI13" s="65">
        <v>4.5</v>
      </c>
      <c r="AJ13" s="66">
        <f>AVERAGE('P101'!$AH13:$AI13)*'P101'!$H13</f>
        <v>4.540000788</v>
      </c>
      <c r="AK13" s="67">
        <v>1.0</v>
      </c>
      <c r="AL13" s="68">
        <v>7.5</v>
      </c>
      <c r="AM13" s="69">
        <v>7.5</v>
      </c>
      <c r="AN13" s="46">
        <f>(('P101'!$AL13+'P101'!$AM13))*'P101'!$AK13</f>
        <v>15</v>
      </c>
      <c r="AO13" s="70">
        <v>10.0</v>
      </c>
      <c r="AP13" s="71">
        <f>SUM('P101'!$U13)</f>
        <v>26.17129794</v>
      </c>
      <c r="AQ13" s="71">
        <f>SUM(AN13,AJ13,AG13,AC13,X13,'P101'!$AO13)</f>
        <v>54.92584829</v>
      </c>
      <c r="AR13" s="72">
        <f>'P101'!$AP13+'P101'!$AQ13</f>
        <v>81.09714623</v>
      </c>
    </row>
    <row r="14" ht="14.25" customHeight="1">
      <c r="A14" s="48" t="s">
        <v>77</v>
      </c>
      <c r="B14" s="49">
        <v>2.02508982E8</v>
      </c>
      <c r="C14" s="49" t="s">
        <v>78</v>
      </c>
      <c r="D14" s="50">
        <v>10.0</v>
      </c>
      <c r="E14" s="49"/>
      <c r="F14" s="51">
        <v>1.0</v>
      </c>
      <c r="G14" s="51">
        <v>1.0</v>
      </c>
      <c r="H14" s="51">
        <v>1.0</v>
      </c>
      <c r="I14" s="52">
        <v>2.25</v>
      </c>
      <c r="J14" s="53">
        <v>2.0</v>
      </c>
      <c r="K14" s="54">
        <v>4.7</v>
      </c>
      <c r="L14" s="55">
        <f>SUM('P101'!$I14:$K14)</f>
        <v>8.95</v>
      </c>
      <c r="M14" s="52">
        <v>3.0</v>
      </c>
      <c r="N14" s="53">
        <v>2.0</v>
      </c>
      <c r="O14" s="54">
        <v>5.0</v>
      </c>
      <c r="P14" s="55">
        <f>SUM('P101'!$M14:$O14)</f>
        <v>10</v>
      </c>
      <c r="Q14" s="52">
        <v>1.5</v>
      </c>
      <c r="R14" s="53">
        <v>2.0</v>
      </c>
      <c r="S14" s="54">
        <v>0.0</v>
      </c>
      <c r="T14" s="55">
        <f>SUM('P101'!$Q14:$S14)</f>
        <v>3.5</v>
      </c>
      <c r="U14" s="56">
        <f>('P101'!$L14+'P101'!$P14+'P101'!$T14)*'P101'!$F14</f>
        <v>22.45</v>
      </c>
      <c r="V14" s="57">
        <v>4.05</v>
      </c>
      <c r="W14" s="57">
        <v>6.0</v>
      </c>
      <c r="X14" s="58">
        <f>SUM('P101'!$V14:$W14)*'P101'!$G14</f>
        <v>10.05</v>
      </c>
      <c r="Y14" s="59">
        <v>1.5</v>
      </c>
      <c r="Z14" s="59">
        <v>1.5</v>
      </c>
      <c r="AA14" s="77">
        <v>0.0</v>
      </c>
      <c r="AB14" s="60" t="str">
        <f>IF(SUM('P101'!$Y14:$AA14)&gt;5.9,"SI","NO")</f>
        <v>NO</v>
      </c>
      <c r="AC14" s="61">
        <f>SUM('P101'!$Y14:$AA14)</f>
        <v>3</v>
      </c>
      <c r="AD14" s="62">
        <v>1.5</v>
      </c>
      <c r="AE14" s="62">
        <v>5.0</v>
      </c>
      <c r="AF14" s="63" t="str">
        <f>IF('P101'!$AG14&gt;5.9,"SI","NO")</f>
        <v>SI</v>
      </c>
      <c r="AG14" s="64">
        <f>SUM('P101'!$AD14:$AE14)</f>
        <v>6.5</v>
      </c>
      <c r="AH14" s="65">
        <v>0.0</v>
      </c>
      <c r="AI14" s="65">
        <v>0.0</v>
      </c>
      <c r="AJ14" s="66">
        <f>AVERAGE('P101'!$AH14:$AI14)*'P101'!$H14</f>
        <v>0</v>
      </c>
      <c r="AK14" s="67">
        <v>0.0</v>
      </c>
      <c r="AL14" s="68">
        <v>0.0</v>
      </c>
      <c r="AM14" s="69">
        <v>0.0</v>
      </c>
      <c r="AN14" s="46">
        <f>(('P101'!$AL14+'P101'!$AM14))*'P101'!$AK14</f>
        <v>0</v>
      </c>
      <c r="AO14" s="70">
        <v>8.5</v>
      </c>
      <c r="AP14" s="71">
        <f>SUM('P101'!$U14)</f>
        <v>22.45</v>
      </c>
      <c r="AQ14" s="71">
        <f>SUM(AN14,AJ14,AG14,AC14,X14,'P101'!$AO14)</f>
        <v>28.05</v>
      </c>
      <c r="AR14" s="72">
        <f>'P101'!$AP14+'P101'!$AQ14</f>
        <v>50.5</v>
      </c>
    </row>
    <row r="15" ht="14.25" customHeight="1">
      <c r="A15" s="48" t="s">
        <v>79</v>
      </c>
      <c r="B15" s="49">
        <v>2.02408043E8</v>
      </c>
      <c r="C15" s="49" t="s">
        <v>80</v>
      </c>
      <c r="D15" s="50">
        <v>2.0</v>
      </c>
      <c r="E15" s="49"/>
      <c r="F15" s="51">
        <v>1.0</v>
      </c>
      <c r="G15" s="51">
        <v>1.0</v>
      </c>
      <c r="H15" s="78">
        <v>0.99662731</v>
      </c>
      <c r="I15" s="52">
        <v>3.0</v>
      </c>
      <c r="J15" s="53">
        <v>1.75</v>
      </c>
      <c r="K15" s="54">
        <v>0.0</v>
      </c>
      <c r="L15" s="55">
        <f>SUM('P101'!$I15:$K15)</f>
        <v>4.75</v>
      </c>
      <c r="M15" s="52">
        <v>0.0</v>
      </c>
      <c r="N15" s="53">
        <v>0.0</v>
      </c>
      <c r="O15" s="54">
        <v>0.0</v>
      </c>
      <c r="P15" s="55">
        <f>SUM('P101'!$M15:$O15)</f>
        <v>0</v>
      </c>
      <c r="Q15" s="52">
        <v>1.0</v>
      </c>
      <c r="R15" s="53">
        <v>1.75</v>
      </c>
      <c r="S15" s="54">
        <v>0.0</v>
      </c>
      <c r="T15" s="55">
        <f>SUM('P101'!$Q15:$S15)</f>
        <v>2.75</v>
      </c>
      <c r="U15" s="56">
        <f>('P101'!$L15+'P101'!$P15+'P101'!$T15)*'P101'!$F15</f>
        <v>7.5</v>
      </c>
      <c r="V15" s="57">
        <v>5.0</v>
      </c>
      <c r="W15" s="57">
        <v>6.8</v>
      </c>
      <c r="X15" s="58">
        <f>SUM('P101'!$V15:$W15)*'P101'!$G15</f>
        <v>11.8</v>
      </c>
      <c r="Y15" s="59">
        <v>0.5</v>
      </c>
      <c r="Z15" s="59">
        <v>1.5</v>
      </c>
      <c r="AA15" s="59">
        <v>0.0</v>
      </c>
      <c r="AB15" s="60" t="str">
        <f>IF(SUM('P101'!$Y15:$AA15)&gt;5.9,"SI","NO")</f>
        <v>NO</v>
      </c>
      <c r="AC15" s="61">
        <f>SUM('P101'!$Y15:$AA15)</f>
        <v>2</v>
      </c>
      <c r="AD15" s="62">
        <v>2.0</v>
      </c>
      <c r="AE15" s="62">
        <v>4.25</v>
      </c>
      <c r="AF15" s="63" t="str">
        <f>IF('P101'!$AG15&gt;5.9,"SI","NO")</f>
        <v>SI</v>
      </c>
      <c r="AG15" s="64">
        <f>SUM('P101'!$AD15:$AE15)</f>
        <v>6.25</v>
      </c>
      <c r="AH15" s="65">
        <v>5.0</v>
      </c>
      <c r="AI15" s="65">
        <v>3.5</v>
      </c>
      <c r="AJ15" s="66">
        <f>AVERAGE('P101'!$AH15:$AI15)*'P101'!$H15</f>
        <v>4.235666068</v>
      </c>
      <c r="AK15" s="67">
        <v>0.0</v>
      </c>
      <c r="AL15" s="68">
        <v>0.0</v>
      </c>
      <c r="AM15" s="69">
        <v>0.0</v>
      </c>
      <c r="AN15" s="46">
        <f>(('P101'!$AL15+'P101'!$AM15))*'P101'!$AK15</f>
        <v>0</v>
      </c>
      <c r="AO15" s="70">
        <v>8.0</v>
      </c>
      <c r="AP15" s="71">
        <f>SUM('P101'!$U15)</f>
        <v>7.5</v>
      </c>
      <c r="AQ15" s="71">
        <f>SUM(AN15,AJ15,AG15,AC15,X15,'P101'!$AO15)</f>
        <v>32.28566607</v>
      </c>
      <c r="AR15" s="72">
        <f>'P101'!$AP15+'P101'!$AQ15</f>
        <v>39.78566607</v>
      </c>
    </row>
    <row r="16" ht="14.25" customHeight="1">
      <c r="A16" s="48" t="s">
        <v>81</v>
      </c>
      <c r="B16" s="49">
        <v>2.02405262E8</v>
      </c>
      <c r="C16" s="49" t="s">
        <v>82</v>
      </c>
      <c r="D16" s="50">
        <v>10.0</v>
      </c>
      <c r="E16" s="49"/>
      <c r="F16" s="51">
        <v>1.0</v>
      </c>
      <c r="G16" s="51">
        <v>1.00524938</v>
      </c>
      <c r="H16" s="78">
        <v>0.5</v>
      </c>
      <c r="I16" s="52">
        <v>2.25</v>
      </c>
      <c r="J16" s="53">
        <v>2.0</v>
      </c>
      <c r="K16" s="54">
        <v>4.7</v>
      </c>
      <c r="L16" s="55">
        <f>SUM('P101'!$I16:$K16)</f>
        <v>8.95</v>
      </c>
      <c r="M16" s="52">
        <v>3.0</v>
      </c>
      <c r="N16" s="53">
        <v>2.0</v>
      </c>
      <c r="O16" s="54">
        <v>5.0</v>
      </c>
      <c r="P16" s="55">
        <f>SUM('P101'!$M16:$O16)</f>
        <v>10</v>
      </c>
      <c r="Q16" s="52">
        <v>3.0</v>
      </c>
      <c r="R16" s="53">
        <v>2.0</v>
      </c>
      <c r="S16" s="54">
        <v>4.45</v>
      </c>
      <c r="T16" s="55">
        <f>SUM('P101'!$Q16:$S16)</f>
        <v>9.45</v>
      </c>
      <c r="U16" s="56">
        <f>('P101'!$L16+'P101'!$P16+'P101'!$T16)*'P101'!$F16</f>
        <v>28.4</v>
      </c>
      <c r="V16" s="57">
        <v>4.05</v>
      </c>
      <c r="W16" s="57">
        <v>6.0</v>
      </c>
      <c r="X16" s="58">
        <f>SUM('P101'!$V16:$W16)*'P101'!$G16</f>
        <v>10.10275627</v>
      </c>
      <c r="Y16" s="59">
        <v>2.0</v>
      </c>
      <c r="Z16" s="77">
        <v>0.0</v>
      </c>
      <c r="AA16" s="59">
        <v>2.5</v>
      </c>
      <c r="AB16" s="60" t="str">
        <f>IF(SUM('P101'!$Y16:$AA16)&gt;5.9,"SI","NO")</f>
        <v>NO</v>
      </c>
      <c r="AC16" s="61">
        <f>SUM('P101'!$Y16:$AA16)</f>
        <v>4.5</v>
      </c>
      <c r="AD16" s="62">
        <v>1.5</v>
      </c>
      <c r="AE16" s="62">
        <v>5.0</v>
      </c>
      <c r="AF16" s="63" t="str">
        <f>IF('P101'!$AG16&gt;5.9,"SI","NO")</f>
        <v>SI</v>
      </c>
      <c r="AG16" s="64">
        <f>SUM('P101'!$AD16:$AE16)</f>
        <v>6.5</v>
      </c>
      <c r="AH16" s="65">
        <v>0.0</v>
      </c>
      <c r="AI16" s="65">
        <v>0.0</v>
      </c>
      <c r="AJ16" s="66">
        <f>AVERAGE('P101'!$AH16:$AI16)*'P101'!$H16</f>
        <v>0</v>
      </c>
      <c r="AK16" s="67">
        <v>0.0</v>
      </c>
      <c r="AL16" s="68">
        <v>0.0</v>
      </c>
      <c r="AM16" s="69">
        <v>0.0</v>
      </c>
      <c r="AN16" s="46">
        <f>(('P101'!$AL16+'P101'!$AM16))*'P101'!$AK16</f>
        <v>0</v>
      </c>
      <c r="AO16" s="70">
        <v>8.5</v>
      </c>
      <c r="AP16" s="71">
        <f>SUM('P101'!$U16)</f>
        <v>28.4</v>
      </c>
      <c r="AQ16" s="71">
        <f>SUM(AN16,AJ16,AG16,AC16,X16,'P101'!$AO16)</f>
        <v>29.60275627</v>
      </c>
      <c r="AR16" s="72">
        <f>'P101'!$AP16+'P101'!$AQ16</f>
        <v>58.00275627</v>
      </c>
    </row>
    <row r="17" ht="14.25" customHeight="1">
      <c r="A17" s="48" t="s">
        <v>83</v>
      </c>
      <c r="B17" s="49">
        <v>2.02415097E8</v>
      </c>
      <c r="C17" s="49" t="s">
        <v>84</v>
      </c>
      <c r="D17" s="50">
        <v>7.0</v>
      </c>
      <c r="E17" s="49"/>
      <c r="F17" s="51">
        <v>1.0</v>
      </c>
      <c r="G17" s="51">
        <v>1.005037815</v>
      </c>
      <c r="H17" s="51">
        <v>0.5</v>
      </c>
      <c r="I17" s="52">
        <v>2.25</v>
      </c>
      <c r="J17" s="53">
        <v>0.75</v>
      </c>
      <c r="K17" s="54">
        <v>3.55</v>
      </c>
      <c r="L17" s="55">
        <f>SUM('P101'!$I17:$K17)</f>
        <v>6.55</v>
      </c>
      <c r="M17" s="52">
        <v>3.0</v>
      </c>
      <c r="N17" s="53">
        <v>2.0</v>
      </c>
      <c r="O17" s="54">
        <v>5.0</v>
      </c>
      <c r="P17" s="55">
        <f>SUM('P101'!$M17:$O17)</f>
        <v>10</v>
      </c>
      <c r="Q17" s="52">
        <v>0.0</v>
      </c>
      <c r="R17" s="53">
        <v>1.25</v>
      </c>
      <c r="S17" s="54">
        <v>0.0</v>
      </c>
      <c r="T17" s="55">
        <f>SUM('P101'!$Q17:$S17)</f>
        <v>1.25</v>
      </c>
      <c r="U17" s="56">
        <f>('P101'!$L17+'P101'!$P17+'P101'!$T17)*'P101'!$F17</f>
        <v>17.8</v>
      </c>
      <c r="V17" s="57">
        <v>4.2</v>
      </c>
      <c r="W17" s="57">
        <v>7.3</v>
      </c>
      <c r="X17" s="58">
        <f>SUM('P101'!$V17:$W17)*'P101'!$G17</f>
        <v>11.55793487</v>
      </c>
      <c r="Y17" s="59">
        <v>2.0</v>
      </c>
      <c r="Z17" s="77">
        <v>0.0</v>
      </c>
      <c r="AA17" s="59">
        <v>4.75</v>
      </c>
      <c r="AB17" s="60" t="str">
        <f>IF(SUM('P101'!$Y17:$AA17)&gt;5.9,"SI","NO")</f>
        <v>SI</v>
      </c>
      <c r="AC17" s="61">
        <f>SUM('P101'!$Y17:$AA17)</f>
        <v>6.75</v>
      </c>
      <c r="AD17" s="62">
        <v>1.5</v>
      </c>
      <c r="AE17" s="62">
        <v>0.0</v>
      </c>
      <c r="AF17" s="63" t="str">
        <f>IF('P101'!$AG17&gt;5.9,"SI","NO")</f>
        <v>NO</v>
      </c>
      <c r="AG17" s="64">
        <f>SUM('P101'!$AD17:$AE17)</f>
        <v>1.5</v>
      </c>
      <c r="AH17" s="65">
        <v>0.0</v>
      </c>
      <c r="AI17" s="65">
        <v>0.0</v>
      </c>
      <c r="AJ17" s="66">
        <f>AVERAGE('P101'!$AH17:$AI17)*'P101'!$H17</f>
        <v>0</v>
      </c>
      <c r="AK17" s="67">
        <v>0.0</v>
      </c>
      <c r="AL17" s="68">
        <v>0.0</v>
      </c>
      <c r="AM17" s="69">
        <v>0.0</v>
      </c>
      <c r="AN17" s="46">
        <f>(('P101'!$AL17+'P101'!$AM17))*'P101'!$AK17</f>
        <v>0</v>
      </c>
      <c r="AO17" s="70">
        <v>0.0</v>
      </c>
      <c r="AP17" s="71">
        <f>SUM('P101'!$U17)</f>
        <v>17.8</v>
      </c>
      <c r="AQ17" s="71">
        <f>SUM(AN17,AJ17,AG17,AC17,X17,'P101'!$AO17)</f>
        <v>19.80793487</v>
      </c>
      <c r="AR17" s="72">
        <f>'P101'!$AP17+'P101'!$AQ17</f>
        <v>37.60793487</v>
      </c>
    </row>
    <row r="18" ht="14.25" customHeight="1">
      <c r="A18" s="48" t="s">
        <v>85</v>
      </c>
      <c r="B18" s="49">
        <v>2.02411674E8</v>
      </c>
      <c r="C18" s="49" t="s">
        <v>86</v>
      </c>
      <c r="D18" s="50">
        <v>8.0</v>
      </c>
      <c r="E18" s="49"/>
      <c r="F18" s="51">
        <v>1.024855223</v>
      </c>
      <c r="G18" s="51">
        <v>1.004494405</v>
      </c>
      <c r="H18" s="51">
        <v>0.994778032</v>
      </c>
      <c r="I18" s="52">
        <v>1.5</v>
      </c>
      <c r="J18" s="53">
        <v>0.0</v>
      </c>
      <c r="K18" s="54">
        <v>0.0</v>
      </c>
      <c r="L18" s="55">
        <f>SUM('P101'!$I18:$K18)</f>
        <v>1.5</v>
      </c>
      <c r="M18" s="52">
        <v>3.0</v>
      </c>
      <c r="N18" s="53">
        <v>2.0</v>
      </c>
      <c r="O18" s="54">
        <v>5.0</v>
      </c>
      <c r="P18" s="55">
        <f>SUM('P101'!$M18:$O18)</f>
        <v>10</v>
      </c>
      <c r="Q18" s="52">
        <v>1.5</v>
      </c>
      <c r="R18" s="53">
        <v>2.0</v>
      </c>
      <c r="S18" s="54">
        <v>0.0</v>
      </c>
      <c r="T18" s="55">
        <f>SUM('P101'!$Q18:$S18)</f>
        <v>3.5</v>
      </c>
      <c r="U18" s="56">
        <f>('P101'!$L18+'P101'!$P18+'P101'!$T18)*'P101'!$F18</f>
        <v>15.37282835</v>
      </c>
      <c r="V18" s="57">
        <v>4.4</v>
      </c>
      <c r="W18" s="57">
        <v>7.3</v>
      </c>
      <c r="X18" s="58">
        <f>SUM('P101'!$V18:$W18)*'P101'!$G18</f>
        <v>11.75258454</v>
      </c>
      <c r="Y18" s="59">
        <v>2.0</v>
      </c>
      <c r="Z18" s="59">
        <v>3.0</v>
      </c>
      <c r="AA18" s="59">
        <v>1.25</v>
      </c>
      <c r="AB18" s="60" t="str">
        <f>IF(SUM('P101'!$Y18:$AA18)&gt;5.9,"SI","NO")</f>
        <v>SI</v>
      </c>
      <c r="AC18" s="61">
        <f>SUM('P101'!$Y18:$AA18)</f>
        <v>6.25</v>
      </c>
      <c r="AD18" s="62">
        <v>2.0</v>
      </c>
      <c r="AE18" s="62">
        <v>4.0</v>
      </c>
      <c r="AF18" s="63" t="str">
        <f>IF('P101'!$AG18&gt;5.9,"SI","NO")</f>
        <v>SI</v>
      </c>
      <c r="AG18" s="64">
        <f>SUM('P101'!$AD18:$AE18)</f>
        <v>6</v>
      </c>
      <c r="AH18" s="65">
        <v>4.0</v>
      </c>
      <c r="AI18" s="65">
        <v>5.0</v>
      </c>
      <c r="AJ18" s="66">
        <f>AVERAGE('P101'!$AH18:$AI18)*'P101'!$H18</f>
        <v>4.476501144</v>
      </c>
      <c r="AK18" s="67">
        <v>1.0</v>
      </c>
      <c r="AL18" s="68">
        <v>5.0</v>
      </c>
      <c r="AM18" s="69">
        <v>6.0</v>
      </c>
      <c r="AN18" s="46">
        <f>(('P101'!$AL18+'P101'!$AM18))*'P101'!$AK18</f>
        <v>11</v>
      </c>
      <c r="AO18" s="70">
        <v>9.5</v>
      </c>
      <c r="AP18" s="71">
        <f>SUM('P101'!$U18)</f>
        <v>15.37282835</v>
      </c>
      <c r="AQ18" s="71">
        <f>SUM(AN18,AJ18,AG18,AC18,X18,'P101'!$AO18)</f>
        <v>48.97908568</v>
      </c>
      <c r="AR18" s="72">
        <f>'P101'!$AP18+'P101'!$AQ18</f>
        <v>64.35191403</v>
      </c>
    </row>
    <row r="19" ht="14.25" customHeight="1">
      <c r="A19" s="48" t="s">
        <v>87</v>
      </c>
      <c r="B19" s="49">
        <v>2.02307872E8</v>
      </c>
      <c r="C19" s="49" t="s">
        <v>88</v>
      </c>
      <c r="D19" s="50">
        <v>5.0</v>
      </c>
      <c r="E19" s="49"/>
      <c r="F19" s="51">
        <v>1.001001503</v>
      </c>
      <c r="G19" s="51">
        <v>1.0</v>
      </c>
      <c r="H19" s="51">
        <v>1.002530582</v>
      </c>
      <c r="I19" s="52">
        <v>0.75</v>
      </c>
      <c r="J19" s="53">
        <v>0.0</v>
      </c>
      <c r="K19" s="54">
        <v>0.0</v>
      </c>
      <c r="L19" s="55">
        <f>SUM('P101'!$I19:$K19)</f>
        <v>0.75</v>
      </c>
      <c r="M19" s="52">
        <v>3.0</v>
      </c>
      <c r="N19" s="53">
        <v>2.0</v>
      </c>
      <c r="O19" s="54">
        <v>5.0</v>
      </c>
      <c r="P19" s="55">
        <f>SUM('P101'!$M19:$O19)</f>
        <v>10</v>
      </c>
      <c r="Q19" s="52">
        <v>3.0</v>
      </c>
      <c r="R19" s="53">
        <v>1.75</v>
      </c>
      <c r="S19" s="54">
        <v>4.8</v>
      </c>
      <c r="T19" s="55">
        <f>SUM('P101'!$Q19:$S19)</f>
        <v>9.55</v>
      </c>
      <c r="U19" s="56">
        <f>('P101'!$L19+'P101'!$P19+'P101'!$T19)*'P101'!$F19</f>
        <v>20.32033051</v>
      </c>
      <c r="V19" s="57">
        <v>4.55</v>
      </c>
      <c r="W19" s="57">
        <v>6.4</v>
      </c>
      <c r="X19" s="58">
        <f>SUM('P101'!$V19:$W19)*'P101'!$G19</f>
        <v>10.95</v>
      </c>
      <c r="Y19" s="59">
        <v>1.0</v>
      </c>
      <c r="Z19" s="59">
        <v>1.0</v>
      </c>
      <c r="AA19" s="59">
        <v>4.0</v>
      </c>
      <c r="AB19" s="60" t="str">
        <f>IF(SUM('P101'!$Y19:$AA19)&gt;5.9,"SI","NO")</f>
        <v>SI</v>
      </c>
      <c r="AC19" s="61">
        <f>SUM('P101'!$Y19:$AA19)</f>
        <v>6</v>
      </c>
      <c r="AD19" s="62">
        <v>1.5</v>
      </c>
      <c r="AE19" s="62">
        <v>7.0</v>
      </c>
      <c r="AF19" s="63" t="str">
        <f>IF('P101'!$AG19&gt;5.9,"SI","NO")</f>
        <v>SI</v>
      </c>
      <c r="AG19" s="64">
        <f>SUM('P101'!$AD19:$AE19)</f>
        <v>8.5</v>
      </c>
      <c r="AH19" s="65">
        <v>3.0</v>
      </c>
      <c r="AI19" s="65">
        <v>4.5</v>
      </c>
      <c r="AJ19" s="66">
        <f>AVERAGE('P101'!$AH19:$AI19)*'P101'!$H19</f>
        <v>3.759489683</v>
      </c>
      <c r="AK19" s="67">
        <v>1.0</v>
      </c>
      <c r="AL19" s="68">
        <v>5.0</v>
      </c>
      <c r="AM19" s="69">
        <v>9.0</v>
      </c>
      <c r="AN19" s="46">
        <f>(('P101'!$AL19+'P101'!$AM19))*'P101'!$AK19</f>
        <v>14</v>
      </c>
      <c r="AO19" s="70">
        <v>10.0</v>
      </c>
      <c r="AP19" s="71">
        <f>SUM('P101'!$U19)</f>
        <v>20.32033051</v>
      </c>
      <c r="AQ19" s="71">
        <f>SUM(AN19,AJ19,AG19,AC19,X19,'P101'!$AO19)</f>
        <v>53.20948968</v>
      </c>
      <c r="AR19" s="79">
        <v>94.0</v>
      </c>
    </row>
    <row r="20" ht="14.25" customHeight="1">
      <c r="A20" s="48" t="s">
        <v>89</v>
      </c>
      <c r="B20" s="49">
        <v>2.02503249E8</v>
      </c>
      <c r="C20" s="49" t="s">
        <v>90</v>
      </c>
      <c r="D20" s="50">
        <v>4.0</v>
      </c>
      <c r="E20" s="49"/>
      <c r="F20" s="51">
        <v>1.03050808</v>
      </c>
      <c r="G20" s="51">
        <v>1.147078669</v>
      </c>
      <c r="H20" s="51">
        <v>1.035098339</v>
      </c>
      <c r="I20" s="52">
        <v>3.0</v>
      </c>
      <c r="J20" s="53">
        <v>0.75</v>
      </c>
      <c r="K20" s="54">
        <v>4.9</v>
      </c>
      <c r="L20" s="55">
        <f>SUM('P101'!$I20:$K20)</f>
        <v>8.65</v>
      </c>
      <c r="M20" s="52">
        <v>3.0</v>
      </c>
      <c r="N20" s="53">
        <v>2.0</v>
      </c>
      <c r="O20" s="54">
        <v>5.0</v>
      </c>
      <c r="P20" s="55">
        <f>SUM('P101'!$M20:$O20)</f>
        <v>10</v>
      </c>
      <c r="Q20" s="52">
        <v>1.5</v>
      </c>
      <c r="R20" s="53">
        <v>2.0</v>
      </c>
      <c r="S20" s="54">
        <v>0.0</v>
      </c>
      <c r="T20" s="55">
        <f>SUM('P101'!$Q20:$S20)</f>
        <v>3.5</v>
      </c>
      <c r="U20" s="56">
        <f>('P101'!$L20+'P101'!$P20+'P101'!$T20)*'P101'!$F20</f>
        <v>22.82575397</v>
      </c>
      <c r="V20" s="57">
        <v>4.6</v>
      </c>
      <c r="W20" s="57">
        <v>8.3</v>
      </c>
      <c r="X20" s="58">
        <f>SUM('P101'!$V20:$W20)*'P101'!$G20</f>
        <v>14.79731483</v>
      </c>
      <c r="Y20" s="59">
        <v>2.0</v>
      </c>
      <c r="Z20" s="59">
        <v>1.5</v>
      </c>
      <c r="AA20" s="59">
        <v>1.25</v>
      </c>
      <c r="AB20" s="60" t="str">
        <f>IF(SUM('P101'!$Y20:$AA20)&gt;5.9,"SI","NO")</f>
        <v>NO</v>
      </c>
      <c r="AC20" s="61">
        <f>SUM('P101'!$Y20:$AA20)</f>
        <v>4.75</v>
      </c>
      <c r="AD20" s="62">
        <v>2.0</v>
      </c>
      <c r="AE20" s="62">
        <v>4.0</v>
      </c>
      <c r="AF20" s="63" t="str">
        <f>IF('P101'!$AG20&gt;5.9,"SI","NO")</f>
        <v>SI</v>
      </c>
      <c r="AG20" s="64">
        <f>SUM('P101'!$AD20:$AE20)</f>
        <v>6</v>
      </c>
      <c r="AH20" s="65">
        <v>4.5</v>
      </c>
      <c r="AI20" s="65">
        <v>4.5</v>
      </c>
      <c r="AJ20" s="66">
        <f>AVERAGE('P101'!$AH20:$AI20)*'P101'!$H20</f>
        <v>4.657942526</v>
      </c>
      <c r="AK20" s="67">
        <v>1.0</v>
      </c>
      <c r="AL20" s="68">
        <v>0.0</v>
      </c>
      <c r="AM20" s="69">
        <v>0.0</v>
      </c>
      <c r="AN20" s="46">
        <f>(('P101'!$AL20+'P101'!$AM20))*'P101'!$AK20</f>
        <v>0</v>
      </c>
      <c r="AO20" s="70">
        <v>10.0</v>
      </c>
      <c r="AP20" s="71">
        <f>SUM('P101'!$U20)</f>
        <v>22.82575397</v>
      </c>
      <c r="AQ20" s="71">
        <f>SUM(AN20,AJ20,AG20,AC20,X20,'P101'!$AO20)</f>
        <v>40.20525736</v>
      </c>
      <c r="AR20" s="72">
        <f>'P101'!$AP20+'P101'!$AQ20</f>
        <v>63.03101133</v>
      </c>
    </row>
    <row r="21" ht="14.25" customHeight="1">
      <c r="A21" s="48" t="s">
        <v>91</v>
      </c>
      <c r="B21" s="49">
        <v>2.02403002E8</v>
      </c>
      <c r="C21" s="49" t="s">
        <v>92</v>
      </c>
      <c r="D21" s="50">
        <v>7.0</v>
      </c>
      <c r="E21" s="49"/>
      <c r="F21" s="51">
        <v>1.0</v>
      </c>
      <c r="G21" s="51">
        <v>0.979589689</v>
      </c>
      <c r="H21" s="51">
        <v>0.5</v>
      </c>
      <c r="I21" s="52">
        <v>3.0</v>
      </c>
      <c r="J21" s="53">
        <v>0.75</v>
      </c>
      <c r="K21" s="54">
        <v>3.55</v>
      </c>
      <c r="L21" s="55">
        <f>SUM('P101'!$I21:$K21)</f>
        <v>7.3</v>
      </c>
      <c r="M21" s="52">
        <v>0.0</v>
      </c>
      <c r="N21" s="53">
        <v>0.0</v>
      </c>
      <c r="O21" s="54">
        <v>0.0</v>
      </c>
      <c r="P21" s="55">
        <f>SUM('P101'!$M21:$O21)</f>
        <v>0</v>
      </c>
      <c r="Q21" s="52">
        <v>1.13</v>
      </c>
      <c r="R21" s="53">
        <v>1.25</v>
      </c>
      <c r="S21" s="54">
        <v>0.0</v>
      </c>
      <c r="T21" s="55">
        <f>SUM('P101'!$Q21:$S21)</f>
        <v>2.38</v>
      </c>
      <c r="U21" s="56">
        <f>('P101'!$L21+'P101'!$P21+'P101'!$T21)*'P101'!$F21</f>
        <v>9.68</v>
      </c>
      <c r="V21" s="57">
        <v>4.2</v>
      </c>
      <c r="W21" s="57">
        <v>7.3</v>
      </c>
      <c r="X21" s="58">
        <f>SUM('P101'!$V21:$W21)*'P101'!$G21</f>
        <v>11.26528142</v>
      </c>
      <c r="Y21" s="59">
        <v>1.5</v>
      </c>
      <c r="Z21" s="59">
        <v>0.0</v>
      </c>
      <c r="AA21" s="59">
        <v>0.0</v>
      </c>
      <c r="AB21" s="60" t="str">
        <f>IF(SUM('P101'!$Y21:$AA21)&gt;5.9,"SI","NO")</f>
        <v>NO</v>
      </c>
      <c r="AC21" s="61">
        <f>SUM('P101'!$Y21:$AA21)</f>
        <v>1.5</v>
      </c>
      <c r="AD21" s="62">
        <v>1.5</v>
      </c>
      <c r="AE21" s="62">
        <v>0.0</v>
      </c>
      <c r="AF21" s="63" t="str">
        <f>IF('P101'!$AG21&gt;5.9,"SI","NO")</f>
        <v>NO</v>
      </c>
      <c r="AG21" s="64">
        <f>SUM('P101'!$AD21:$AE21)</f>
        <v>1.5</v>
      </c>
      <c r="AH21" s="65">
        <v>0.0</v>
      </c>
      <c r="AI21" s="65">
        <v>0.0</v>
      </c>
      <c r="AJ21" s="66">
        <f>AVERAGE('P101'!$AH21:$AI21)*'P101'!$H21</f>
        <v>0</v>
      </c>
      <c r="AK21" s="67">
        <v>0.0</v>
      </c>
      <c r="AL21" s="68">
        <v>0.0</v>
      </c>
      <c r="AM21" s="69">
        <v>0.0</v>
      </c>
      <c r="AN21" s="46">
        <f>(('P101'!$AL21+'P101'!$AM21))*'P101'!$AK21</f>
        <v>0</v>
      </c>
      <c r="AO21" s="70">
        <v>0.0</v>
      </c>
      <c r="AP21" s="71">
        <f>SUM('P101'!$U21)</f>
        <v>9.68</v>
      </c>
      <c r="AQ21" s="71">
        <f>SUM(AN21,AJ21,AG21,AC21,X21,'P101'!$AO21)</f>
        <v>14.26528142</v>
      </c>
      <c r="AR21" s="72">
        <f>'P101'!$AP21+'P101'!$AQ21</f>
        <v>23.94528142</v>
      </c>
    </row>
    <row r="22" ht="14.25" customHeight="1">
      <c r="A22" s="48" t="s">
        <v>93</v>
      </c>
      <c r="B22" s="49">
        <v>2.02508842E8</v>
      </c>
      <c r="C22" s="49" t="s">
        <v>94</v>
      </c>
      <c r="D22" s="50">
        <v>2.0</v>
      </c>
      <c r="E22" s="49"/>
      <c r="F22" s="51">
        <v>1.0</v>
      </c>
      <c r="G22" s="51">
        <v>0.5</v>
      </c>
      <c r="H22" s="51">
        <v>1.005037815</v>
      </c>
      <c r="I22" s="52">
        <v>2.25</v>
      </c>
      <c r="J22" s="53">
        <v>1.75</v>
      </c>
      <c r="K22" s="54">
        <v>4.65</v>
      </c>
      <c r="L22" s="55">
        <f>SUM('P101'!$I22:$K22)</f>
        <v>8.65</v>
      </c>
      <c r="M22" s="52">
        <v>3.0</v>
      </c>
      <c r="N22" s="53">
        <v>2.0</v>
      </c>
      <c r="O22" s="54">
        <v>5.0</v>
      </c>
      <c r="P22" s="55">
        <f>SUM('P101'!$M22:$O22)</f>
        <v>10</v>
      </c>
      <c r="Q22" s="52">
        <v>2.25</v>
      </c>
      <c r="R22" s="53">
        <v>1.75</v>
      </c>
      <c r="S22" s="54">
        <v>4.45</v>
      </c>
      <c r="T22" s="55">
        <f>SUM('P101'!$Q22:$S22)</f>
        <v>8.45</v>
      </c>
      <c r="U22" s="56">
        <f>('P101'!$L22+'P101'!$P22+'P101'!$T22)*'P101'!$F22</f>
        <v>27.1</v>
      </c>
      <c r="V22" s="57">
        <v>5.0</v>
      </c>
      <c r="W22" s="57">
        <v>6.8</v>
      </c>
      <c r="X22" s="58">
        <f>SUM('P101'!$V22:$W22)*'P101'!$G22</f>
        <v>5.9</v>
      </c>
      <c r="Y22" s="59">
        <v>0.5</v>
      </c>
      <c r="Z22" s="59">
        <v>1.5</v>
      </c>
      <c r="AA22" s="59">
        <v>4.0</v>
      </c>
      <c r="AB22" s="60" t="str">
        <f>IF(SUM('P101'!$Y22:$AA22)&gt;5.9,"SI","NO")</f>
        <v>SI</v>
      </c>
      <c r="AC22" s="61">
        <f>SUM('P101'!$Y22:$AA22)</f>
        <v>6</v>
      </c>
      <c r="AD22" s="62">
        <v>2.0</v>
      </c>
      <c r="AE22" s="62">
        <v>4.25</v>
      </c>
      <c r="AF22" s="63" t="str">
        <f>IF('P101'!$AG22&gt;5.9,"SI","NO")</f>
        <v>SI</v>
      </c>
      <c r="AG22" s="64">
        <f>SUM('P101'!$AD22:$AE22)</f>
        <v>6.25</v>
      </c>
      <c r="AH22" s="65">
        <v>5.0</v>
      </c>
      <c r="AI22" s="65">
        <v>3.5</v>
      </c>
      <c r="AJ22" s="66">
        <f>AVERAGE('P101'!$AH22:$AI22)*'P101'!$H22</f>
        <v>4.271410714</v>
      </c>
      <c r="AK22" s="67">
        <v>1.0</v>
      </c>
      <c r="AL22" s="68">
        <v>9.0</v>
      </c>
      <c r="AM22" s="69">
        <v>6.0</v>
      </c>
      <c r="AN22" s="46">
        <f>(('P101'!$AL22+'P101'!$AM22))*'P101'!$AK22</f>
        <v>15</v>
      </c>
      <c r="AO22" s="70">
        <v>8.0</v>
      </c>
      <c r="AP22" s="71">
        <f>SUM('P101'!$U22)</f>
        <v>27.1</v>
      </c>
      <c r="AQ22" s="71">
        <f>SUM(AN22,AJ22,AG22,AC22,X22,'P101'!$AO22)</f>
        <v>45.42141071</v>
      </c>
      <c r="AR22" s="72">
        <f>'P101'!$AP22+'P101'!$AQ22</f>
        <v>72.52141071</v>
      </c>
    </row>
    <row r="23" ht="14.25" customHeight="1">
      <c r="A23" s="48" t="s">
        <v>95</v>
      </c>
      <c r="B23" s="49">
        <v>2.0250903E8</v>
      </c>
      <c r="C23" s="49" t="s">
        <v>96</v>
      </c>
      <c r="D23" s="50">
        <v>1.0</v>
      </c>
      <c r="E23" s="49"/>
      <c r="F23" s="51">
        <v>1.152143059</v>
      </c>
      <c r="G23" s="51">
        <v>1.069044968</v>
      </c>
      <c r="H23" s="51">
        <v>1.201502818</v>
      </c>
      <c r="I23" s="52">
        <v>3.0</v>
      </c>
      <c r="J23" s="53">
        <v>1.25</v>
      </c>
      <c r="K23" s="54">
        <v>5.0</v>
      </c>
      <c r="L23" s="55">
        <f>SUM('P101'!$I23:$K23)</f>
        <v>9.25</v>
      </c>
      <c r="M23" s="52">
        <v>3.0</v>
      </c>
      <c r="N23" s="53">
        <v>2.0</v>
      </c>
      <c r="O23" s="54">
        <v>5.0</v>
      </c>
      <c r="P23" s="55">
        <f>SUM('P101'!$M23:$O23)</f>
        <v>10</v>
      </c>
      <c r="Q23" s="52">
        <v>0.5</v>
      </c>
      <c r="R23" s="53">
        <v>1.75</v>
      </c>
      <c r="S23" s="73">
        <v>0.0</v>
      </c>
      <c r="T23" s="55">
        <f>SUM('P101'!$Q23:$S23)</f>
        <v>2.25</v>
      </c>
      <c r="U23" s="56">
        <f>('P101'!$L23+'P101'!$P23+'P101'!$T23)*'P101'!$F23</f>
        <v>24.77107577</v>
      </c>
      <c r="V23" s="57">
        <v>4.65</v>
      </c>
      <c r="W23" s="57">
        <v>6.8</v>
      </c>
      <c r="X23" s="58">
        <f>SUM('P101'!$V23:$W23)*'P101'!$G23</f>
        <v>12.24056488</v>
      </c>
      <c r="Y23" s="59">
        <v>1.5</v>
      </c>
      <c r="Z23" s="59">
        <v>3.0</v>
      </c>
      <c r="AA23" s="59">
        <v>3.75</v>
      </c>
      <c r="AB23" s="60" t="str">
        <f>IF(SUM('P101'!$Y23:$AA23)&gt;5.9,"SI","NO")</f>
        <v>SI</v>
      </c>
      <c r="AC23" s="61">
        <f>SUM('P101'!$Y23:$AA23)</f>
        <v>8.25</v>
      </c>
      <c r="AD23" s="62">
        <v>1.5</v>
      </c>
      <c r="AE23" s="62">
        <v>5.5</v>
      </c>
      <c r="AF23" s="63" t="str">
        <f>IF('P101'!$AG23&gt;5.9,"SI","NO")</f>
        <v>SI</v>
      </c>
      <c r="AG23" s="64">
        <f>SUM('P101'!$AD23:$AE23)</f>
        <v>7</v>
      </c>
      <c r="AH23" s="65">
        <v>4.0</v>
      </c>
      <c r="AI23" s="65">
        <v>5.0</v>
      </c>
      <c r="AJ23" s="66">
        <f>AVERAGE('P101'!$AH23:$AI23)*'P101'!$H23</f>
        <v>5.406762681</v>
      </c>
      <c r="AK23" s="67">
        <v>1.0</v>
      </c>
      <c r="AL23" s="68">
        <v>6.0</v>
      </c>
      <c r="AM23" s="69">
        <v>10.0</v>
      </c>
      <c r="AN23" s="46">
        <f>(('P101'!$AL23+'P101'!$AM23))*'P101'!$AK23</f>
        <v>16</v>
      </c>
      <c r="AO23" s="70">
        <v>9.75</v>
      </c>
      <c r="AP23" s="71">
        <f>SUM('P101'!$U23)</f>
        <v>24.77107577</v>
      </c>
      <c r="AQ23" s="71">
        <f>SUM(AN23,AJ23,AG23,AC23,X23,'P101'!$AO23)</f>
        <v>58.64732756</v>
      </c>
      <c r="AR23" s="72">
        <f>'P101'!$AP23+'P101'!$AQ23</f>
        <v>83.41840333</v>
      </c>
    </row>
    <row r="24" ht="14.25" customHeight="1">
      <c r="A24" s="48" t="s">
        <v>97</v>
      </c>
      <c r="B24" s="49">
        <v>2.02410155E8</v>
      </c>
      <c r="C24" s="49" t="s">
        <v>98</v>
      </c>
      <c r="D24" s="50">
        <v>8.0</v>
      </c>
      <c r="E24" s="49"/>
      <c r="F24" s="51">
        <v>1.045988482</v>
      </c>
      <c r="G24" s="51">
        <v>1.03975049</v>
      </c>
      <c r="H24" s="51">
        <v>1.020620726</v>
      </c>
      <c r="I24" s="52">
        <v>3.0</v>
      </c>
      <c r="J24" s="53">
        <v>1.25</v>
      </c>
      <c r="K24" s="54">
        <v>2.1</v>
      </c>
      <c r="L24" s="55">
        <f>SUM('P101'!$I24:$K24)</f>
        <v>6.35</v>
      </c>
      <c r="M24" s="52">
        <v>3.0</v>
      </c>
      <c r="N24" s="53">
        <v>2.0</v>
      </c>
      <c r="O24" s="54">
        <v>5.0</v>
      </c>
      <c r="P24" s="55">
        <f>SUM('P101'!$M24:$O24)</f>
        <v>10</v>
      </c>
      <c r="Q24" s="52">
        <v>1.5</v>
      </c>
      <c r="R24" s="53">
        <v>2.0</v>
      </c>
      <c r="S24" s="54">
        <v>0.0</v>
      </c>
      <c r="T24" s="55">
        <f>SUM('P101'!$Q24:$S24)</f>
        <v>3.5</v>
      </c>
      <c r="U24" s="56">
        <f>('P101'!$L24+'P101'!$P24+'P101'!$T24)*'P101'!$F24</f>
        <v>20.76287137</v>
      </c>
      <c r="V24" s="57">
        <v>4.4</v>
      </c>
      <c r="W24" s="57">
        <v>7.3</v>
      </c>
      <c r="X24" s="58">
        <f>SUM('P101'!$V24:$W24)*'P101'!$G24</f>
        <v>12.16508073</v>
      </c>
      <c r="Y24" s="59">
        <v>1.5</v>
      </c>
      <c r="Z24" s="59">
        <v>1.0</v>
      </c>
      <c r="AA24" s="59">
        <v>3.5</v>
      </c>
      <c r="AB24" s="60" t="str">
        <f>IF(SUM('P101'!$Y24:$AA24)&gt;5.9,"SI","NO")</f>
        <v>SI</v>
      </c>
      <c r="AC24" s="61">
        <f>SUM('P101'!$Y24:$AA24)</f>
        <v>6</v>
      </c>
      <c r="AD24" s="62">
        <v>2.0</v>
      </c>
      <c r="AE24" s="62">
        <v>4.0</v>
      </c>
      <c r="AF24" s="63" t="str">
        <f>IF('P101'!$AG24&gt;5.9,"SI","NO")</f>
        <v>SI</v>
      </c>
      <c r="AG24" s="64">
        <f>SUM('P101'!$AD24:$AE24)</f>
        <v>6</v>
      </c>
      <c r="AH24" s="65">
        <v>4.0</v>
      </c>
      <c r="AI24" s="65">
        <v>5.0</v>
      </c>
      <c r="AJ24" s="66">
        <f>AVERAGE('P101'!$AH24:$AI24)*'P101'!$H24</f>
        <v>4.592793267</v>
      </c>
      <c r="AK24" s="67">
        <v>1.0</v>
      </c>
      <c r="AL24" s="68">
        <v>8.0</v>
      </c>
      <c r="AM24" s="69">
        <v>7.0</v>
      </c>
      <c r="AN24" s="46">
        <f>(('P101'!$AL24+'P101'!$AM24))*'P101'!$AK24</f>
        <v>15</v>
      </c>
      <c r="AO24" s="70">
        <v>9.5</v>
      </c>
      <c r="AP24" s="71">
        <f>SUM('P101'!$U24)</f>
        <v>20.76287137</v>
      </c>
      <c r="AQ24" s="71">
        <f>SUM(AN24,AJ24,AG24,AC24,X24,'P101'!$AO24)</f>
        <v>53.257874</v>
      </c>
      <c r="AR24" s="72">
        <f>'P101'!$AP24+'P101'!$AQ24</f>
        <v>74.02074537</v>
      </c>
    </row>
    <row r="25" ht="14.25" customHeight="1">
      <c r="A25" s="48" t="s">
        <v>99</v>
      </c>
      <c r="B25" s="49">
        <v>2.02505939E8</v>
      </c>
      <c r="C25" s="49" t="s">
        <v>100</v>
      </c>
      <c r="D25" s="50">
        <v>3.0</v>
      </c>
      <c r="E25" s="49"/>
      <c r="F25" s="51">
        <v>0.998937865</v>
      </c>
      <c r="G25" s="51">
        <v>1.008154219</v>
      </c>
      <c r="H25" s="51">
        <v>0.994778032</v>
      </c>
      <c r="I25" s="52">
        <v>3.0</v>
      </c>
      <c r="J25" s="53">
        <v>1.0</v>
      </c>
      <c r="K25" s="54">
        <v>4.1</v>
      </c>
      <c r="L25" s="55">
        <f>SUM('P101'!$I25:$K25)</f>
        <v>8.1</v>
      </c>
      <c r="M25" s="52">
        <v>3.0</v>
      </c>
      <c r="N25" s="53">
        <v>2.0</v>
      </c>
      <c r="O25" s="54">
        <v>5.0</v>
      </c>
      <c r="P25" s="55">
        <f>SUM('P101'!$M25:$O25)</f>
        <v>10</v>
      </c>
      <c r="Q25" s="52">
        <v>1.5</v>
      </c>
      <c r="R25" s="53">
        <v>2.0</v>
      </c>
      <c r="S25" s="54">
        <v>0.0</v>
      </c>
      <c r="T25" s="55">
        <f>SUM('P101'!$Q25:$S25)</f>
        <v>3.5</v>
      </c>
      <c r="U25" s="56">
        <f>('P101'!$L25+'P101'!$P25+'P101'!$T25)*'P101'!$F25</f>
        <v>21.57705788</v>
      </c>
      <c r="V25" s="57">
        <v>3.25</v>
      </c>
      <c r="W25" s="57">
        <v>5.2</v>
      </c>
      <c r="X25" s="58">
        <f>SUM('P101'!$V25:$W25)*'P101'!$G25</f>
        <v>8.518903151</v>
      </c>
      <c r="Y25" s="59">
        <v>1.5</v>
      </c>
      <c r="Z25" s="59">
        <v>0.0</v>
      </c>
      <c r="AA25" s="59">
        <v>2.5</v>
      </c>
      <c r="AB25" s="60" t="str">
        <f>IF(SUM('P101'!$Y25:$AA25)&gt;5.9,"SI","NO")</f>
        <v>NO</v>
      </c>
      <c r="AC25" s="61">
        <f>SUM('P101'!$Y25:$AA25)</f>
        <v>4</v>
      </c>
      <c r="AD25" s="62">
        <v>1.0</v>
      </c>
      <c r="AE25" s="62">
        <v>5.25</v>
      </c>
      <c r="AF25" s="63" t="str">
        <f>IF('P101'!$AG25&gt;5.9,"SI","NO")</f>
        <v>SI</v>
      </c>
      <c r="AG25" s="64">
        <f>SUM('P101'!$AD25:$AE25)</f>
        <v>6.25</v>
      </c>
      <c r="AH25" s="65">
        <v>4.5</v>
      </c>
      <c r="AI25" s="65">
        <v>5.0</v>
      </c>
      <c r="AJ25" s="66">
        <f>AVERAGE('P101'!$AH25:$AI25)*'P101'!$H25</f>
        <v>4.725195652</v>
      </c>
      <c r="AK25" s="67">
        <v>0.0</v>
      </c>
      <c r="AL25" s="68">
        <v>0.0</v>
      </c>
      <c r="AM25" s="69">
        <v>0.0</v>
      </c>
      <c r="AN25" s="46">
        <f>(('P101'!$AL25+'P101'!$AM25))*'P101'!$AK25</f>
        <v>0</v>
      </c>
      <c r="AO25" s="70">
        <v>7.5</v>
      </c>
      <c r="AP25" s="71">
        <f>SUM('P101'!$U25)</f>
        <v>21.57705788</v>
      </c>
      <c r="AQ25" s="71">
        <f>SUM(AN25,AJ25,AG25,AC25,X25,'P101'!$AO25)</f>
        <v>30.9940988</v>
      </c>
      <c r="AR25" s="72">
        <f>'P101'!$AP25+'P101'!$AQ25</f>
        <v>52.57115669</v>
      </c>
    </row>
    <row r="26" ht="14.25" customHeight="1">
      <c r="A26" s="48" t="s">
        <v>101</v>
      </c>
      <c r="B26" s="49">
        <v>2.0251035E8</v>
      </c>
      <c r="C26" s="49" t="s">
        <v>102</v>
      </c>
      <c r="D26" s="50">
        <v>7.0</v>
      </c>
      <c r="E26" s="49"/>
      <c r="F26" s="51">
        <v>1.0</v>
      </c>
      <c r="G26" s="51">
        <v>1.005037815</v>
      </c>
      <c r="H26" s="51">
        <v>0.967685995</v>
      </c>
      <c r="I26" s="52">
        <v>3.0</v>
      </c>
      <c r="J26" s="53">
        <v>0.75</v>
      </c>
      <c r="K26" s="54">
        <v>3.55</v>
      </c>
      <c r="L26" s="55">
        <f>SUM('P101'!$I26:$K26)</f>
        <v>7.3</v>
      </c>
      <c r="M26" s="52">
        <v>3.0</v>
      </c>
      <c r="N26" s="53">
        <v>2.0</v>
      </c>
      <c r="O26" s="54">
        <v>5.0</v>
      </c>
      <c r="P26" s="55">
        <f>SUM('P101'!$M26:$O26)</f>
        <v>10</v>
      </c>
      <c r="Q26" s="52">
        <v>0.0</v>
      </c>
      <c r="R26" s="53">
        <v>1.25</v>
      </c>
      <c r="S26" s="54">
        <v>0.0</v>
      </c>
      <c r="T26" s="55">
        <f>SUM('P101'!$Q26:$S26)</f>
        <v>1.25</v>
      </c>
      <c r="U26" s="56">
        <f>('P101'!$L26+'P101'!$P26+'P101'!$T26)*'P101'!$F26</f>
        <v>18.55</v>
      </c>
      <c r="V26" s="57">
        <v>4.2</v>
      </c>
      <c r="W26" s="57">
        <v>7.3</v>
      </c>
      <c r="X26" s="58">
        <f>SUM('P101'!$V26:$W26)*'P101'!$G26</f>
        <v>11.55793487</v>
      </c>
      <c r="Y26" s="59">
        <v>1.5</v>
      </c>
      <c r="Z26" s="59">
        <v>1.5</v>
      </c>
      <c r="AA26" s="59">
        <v>3.75</v>
      </c>
      <c r="AB26" s="60" t="str">
        <f>IF(SUM('P101'!$Y26:$AA26)&gt;5.9,"SI","NO")</f>
        <v>SI</v>
      </c>
      <c r="AC26" s="61">
        <f>SUM('P101'!$Y26:$AA26)</f>
        <v>6.75</v>
      </c>
      <c r="AD26" s="62">
        <v>1.5</v>
      </c>
      <c r="AE26" s="62">
        <v>0.0</v>
      </c>
      <c r="AF26" s="63" t="str">
        <f>IF('P101'!$AG26&gt;5.9,"SI","NO")</f>
        <v>NO</v>
      </c>
      <c r="AG26" s="64">
        <f>SUM('P101'!$AD26:$AE26)</f>
        <v>1.5</v>
      </c>
      <c r="AH26" s="65">
        <v>0.0</v>
      </c>
      <c r="AI26" s="65">
        <v>0.0</v>
      </c>
      <c r="AJ26" s="66">
        <f>AVERAGE('P101'!$AH26:$AI26)*'P101'!$H26</f>
        <v>0</v>
      </c>
      <c r="AK26" s="67">
        <v>0.0</v>
      </c>
      <c r="AL26" s="68">
        <v>0.0</v>
      </c>
      <c r="AM26" s="69">
        <v>0.0</v>
      </c>
      <c r="AN26" s="46">
        <f>(('P101'!$AL26+'P101'!$AM26))*'P101'!$AK26</f>
        <v>0</v>
      </c>
      <c r="AO26" s="70">
        <v>0.0</v>
      </c>
      <c r="AP26" s="71">
        <f>SUM('P101'!$U26)</f>
        <v>18.55</v>
      </c>
      <c r="AQ26" s="71">
        <f>SUM(AN26,AJ26,AG26,AC26,X26,'P101'!$AO26)</f>
        <v>19.80793487</v>
      </c>
      <c r="AR26" s="72">
        <f>'P101'!$AP26+'P101'!$AQ26</f>
        <v>38.35793487</v>
      </c>
    </row>
    <row r="27" ht="14.25" customHeight="1">
      <c r="A27" s="48" t="s">
        <v>103</v>
      </c>
      <c r="B27" s="49">
        <v>2.02501458E8</v>
      </c>
      <c r="C27" s="49" t="s">
        <v>104</v>
      </c>
      <c r="D27" s="50">
        <v>9.0</v>
      </c>
      <c r="E27" s="49"/>
      <c r="F27" s="51">
        <v>0.989926996</v>
      </c>
      <c r="G27" s="51">
        <v>1.062522363</v>
      </c>
      <c r="H27" s="51">
        <v>1.007372401</v>
      </c>
      <c r="I27" s="52">
        <v>2.25</v>
      </c>
      <c r="J27" s="53">
        <v>1.25</v>
      </c>
      <c r="K27" s="54">
        <v>4.15</v>
      </c>
      <c r="L27" s="55">
        <f>SUM('P101'!$I27:$K27)</f>
        <v>7.65</v>
      </c>
      <c r="M27" s="52">
        <v>3.0</v>
      </c>
      <c r="N27" s="53">
        <v>2.0</v>
      </c>
      <c r="O27" s="54">
        <v>5.0</v>
      </c>
      <c r="P27" s="55">
        <f>SUM('P101'!$M27:$O27)</f>
        <v>10</v>
      </c>
      <c r="Q27" s="52">
        <v>2.0</v>
      </c>
      <c r="R27" s="53">
        <v>1.5</v>
      </c>
      <c r="S27" s="54">
        <v>3.5</v>
      </c>
      <c r="T27" s="55">
        <f>SUM('P101'!$Q27:$S27)</f>
        <v>7</v>
      </c>
      <c r="U27" s="56">
        <f>('P101'!$L27+'P101'!$P27+'P101'!$T27)*'P101'!$F27</f>
        <v>24.40170045</v>
      </c>
      <c r="V27" s="57">
        <v>4.55</v>
      </c>
      <c r="W27" s="57">
        <v>3.1</v>
      </c>
      <c r="X27" s="58">
        <f>SUM('P101'!$V27:$W27)*'P101'!$G27</f>
        <v>8.128296077</v>
      </c>
      <c r="Y27" s="59">
        <v>1.0</v>
      </c>
      <c r="Z27" s="59">
        <v>0.0</v>
      </c>
      <c r="AA27" s="59">
        <v>1.25</v>
      </c>
      <c r="AB27" s="60" t="str">
        <f>IF(SUM('P101'!$Y27:$AA27)&gt;5.9,"SI","NO")</f>
        <v>NO</v>
      </c>
      <c r="AC27" s="61">
        <f>SUM('P101'!$Y27:$AA27)</f>
        <v>2.25</v>
      </c>
      <c r="AD27" s="62">
        <v>1.0</v>
      </c>
      <c r="AE27" s="62">
        <v>5.0</v>
      </c>
      <c r="AF27" s="63" t="str">
        <f>IF('P101'!$AG27&gt;5.9,"SI","NO")</f>
        <v>SI</v>
      </c>
      <c r="AG27" s="64">
        <f>SUM('P101'!$AD27:$AE27)</f>
        <v>6</v>
      </c>
      <c r="AH27" s="65">
        <v>0.0</v>
      </c>
      <c r="AI27" s="65">
        <v>0.0</v>
      </c>
      <c r="AJ27" s="66">
        <f>AVERAGE('P101'!$AH27:$AI27)*'P101'!$H27</f>
        <v>0</v>
      </c>
      <c r="AK27" s="67">
        <v>0.0</v>
      </c>
      <c r="AL27" s="68">
        <v>0.0</v>
      </c>
      <c r="AM27" s="69">
        <v>0.0</v>
      </c>
      <c r="AN27" s="46">
        <f>(('P101'!$AL27+'P101'!$AM27))*'P101'!$AK27</f>
        <v>0</v>
      </c>
      <c r="AO27" s="70">
        <v>5.5</v>
      </c>
      <c r="AP27" s="71">
        <f>SUM('P101'!$U27)</f>
        <v>24.40170045</v>
      </c>
      <c r="AQ27" s="71">
        <f>SUM(AN27,AJ27,AG27,AC27,X27,'P101'!$AO27)</f>
        <v>21.87829608</v>
      </c>
      <c r="AR27" s="72">
        <f>'P101'!$AP27+'P101'!$AQ27</f>
        <v>46.27999653</v>
      </c>
    </row>
    <row r="28" ht="14.25" customHeight="1">
      <c r="A28" s="48" t="s">
        <v>105</v>
      </c>
      <c r="B28" s="49">
        <v>2.02211207E8</v>
      </c>
      <c r="C28" s="49" t="s">
        <v>106</v>
      </c>
      <c r="D28" s="50">
        <v>6.0</v>
      </c>
      <c r="E28" s="49"/>
      <c r="F28" s="51">
        <v>1.0</v>
      </c>
      <c r="G28" s="51">
        <v>1.0</v>
      </c>
      <c r="H28" s="51">
        <v>0.966569219</v>
      </c>
      <c r="I28" s="52">
        <v>2.25</v>
      </c>
      <c r="J28" s="53">
        <v>1.25</v>
      </c>
      <c r="K28" s="54">
        <v>3.95</v>
      </c>
      <c r="L28" s="55">
        <f>SUM('P101'!$I28:$K28)</f>
        <v>7.45</v>
      </c>
      <c r="M28" s="52">
        <v>3.0</v>
      </c>
      <c r="N28" s="53">
        <v>2.0</v>
      </c>
      <c r="O28" s="54">
        <v>5.0</v>
      </c>
      <c r="P28" s="55">
        <f>SUM('P101'!$M28:$O28)</f>
        <v>10</v>
      </c>
      <c r="Q28" s="52">
        <v>1.8</v>
      </c>
      <c r="R28" s="53">
        <v>1.75</v>
      </c>
      <c r="S28" s="54">
        <v>3.95</v>
      </c>
      <c r="T28" s="55">
        <f>SUM('P101'!$Q28:$S28)</f>
        <v>7.5</v>
      </c>
      <c r="U28" s="56">
        <f>('P101'!$L28+'P101'!$P28+'P101'!$T28)*'P101'!$F28</f>
        <v>24.95</v>
      </c>
      <c r="V28" s="57">
        <v>4.9</v>
      </c>
      <c r="W28" s="57">
        <v>8.6</v>
      </c>
      <c r="X28" s="58">
        <f>SUM('P101'!$V28:$W28)*'P101'!$G28</f>
        <v>13.5</v>
      </c>
      <c r="Y28" s="59">
        <v>2.0</v>
      </c>
      <c r="Z28" s="59">
        <v>3.0</v>
      </c>
      <c r="AA28" s="59">
        <v>3.75</v>
      </c>
      <c r="AB28" s="60" t="str">
        <f>IF(SUM('P101'!$Y28:$AA28)&gt;5.9,"SI","NO")</f>
        <v>SI</v>
      </c>
      <c r="AC28" s="61">
        <f>SUM('P101'!$Y28:$AA28)</f>
        <v>8.75</v>
      </c>
      <c r="AD28" s="62">
        <v>1.75</v>
      </c>
      <c r="AE28" s="62">
        <v>6.0</v>
      </c>
      <c r="AF28" s="63" t="str">
        <f>IF('P101'!$AG28&gt;5.9,"SI","NO")</f>
        <v>SI</v>
      </c>
      <c r="AG28" s="64">
        <f>SUM('P101'!$AD28:$AE28)</f>
        <v>7.75</v>
      </c>
      <c r="AH28" s="65">
        <v>5.0</v>
      </c>
      <c r="AI28" s="65">
        <v>4.5</v>
      </c>
      <c r="AJ28" s="66">
        <f>AVERAGE('P101'!$AH28:$AI28)*'P101'!$H28</f>
        <v>4.59120379</v>
      </c>
      <c r="AK28" s="67">
        <v>1.0</v>
      </c>
      <c r="AL28" s="68">
        <v>2.5</v>
      </c>
      <c r="AM28" s="69">
        <v>7.0</v>
      </c>
      <c r="AN28" s="46">
        <f>(('P101'!$AL28+'P101'!$AM28))*'P101'!$AK28</f>
        <v>9.5</v>
      </c>
      <c r="AO28" s="70">
        <v>10.0</v>
      </c>
      <c r="AP28" s="71">
        <f>SUM('P101'!$U28)</f>
        <v>24.95</v>
      </c>
      <c r="AQ28" s="71">
        <f>SUM(AN28,AJ28,AG28,AC28,X28,'P101'!$AO28)</f>
        <v>54.09120379</v>
      </c>
      <c r="AR28" s="72">
        <f>'P101'!$AP28+'P101'!$AQ28</f>
        <v>79.04120379</v>
      </c>
    </row>
    <row r="29" ht="14.25" customHeight="1">
      <c r="A29" s="48" t="s">
        <v>107</v>
      </c>
      <c r="B29" s="49">
        <v>2.02318341E8</v>
      </c>
      <c r="C29" s="49" t="s">
        <v>108</v>
      </c>
      <c r="D29" s="50">
        <v>9.0</v>
      </c>
      <c r="E29" s="49"/>
      <c r="F29" s="51">
        <v>0.995535692</v>
      </c>
      <c r="G29" s="51">
        <v>1.006064337</v>
      </c>
      <c r="H29" s="51">
        <v>1.007372401</v>
      </c>
      <c r="I29" s="52">
        <v>1.5</v>
      </c>
      <c r="J29" s="53">
        <v>0.0</v>
      </c>
      <c r="K29" s="54">
        <v>0.0</v>
      </c>
      <c r="L29" s="55">
        <f>SUM('P101'!$I29:$K29)</f>
        <v>1.5</v>
      </c>
      <c r="M29" s="52">
        <v>3.0</v>
      </c>
      <c r="N29" s="53">
        <v>2.0</v>
      </c>
      <c r="O29" s="54">
        <v>5.0</v>
      </c>
      <c r="P29" s="55">
        <f>SUM('P101'!$M29:$O29)</f>
        <v>10</v>
      </c>
      <c r="Q29" s="52">
        <v>1.63</v>
      </c>
      <c r="R29" s="53">
        <v>1.5</v>
      </c>
      <c r="S29" s="54">
        <v>0.0</v>
      </c>
      <c r="T29" s="55">
        <f>SUM('P101'!$Q29:$S29)</f>
        <v>3.13</v>
      </c>
      <c r="U29" s="56">
        <f>('P101'!$L29+'P101'!$P29+'P101'!$T29)*'P101'!$F29</f>
        <v>14.56468717</v>
      </c>
      <c r="V29" s="57">
        <v>4.55</v>
      </c>
      <c r="W29" s="57">
        <v>3.1</v>
      </c>
      <c r="X29" s="58">
        <f>SUM('P101'!$V29:$W29)*'P101'!$G29</f>
        <v>7.696392178</v>
      </c>
      <c r="Y29" s="59">
        <v>1.5</v>
      </c>
      <c r="Z29" s="59">
        <v>0.0</v>
      </c>
      <c r="AA29" s="59">
        <v>1.25</v>
      </c>
      <c r="AB29" s="60" t="str">
        <f>IF(SUM('P101'!$Y29:$AA29)&gt;5.9,"SI","NO")</f>
        <v>NO</v>
      </c>
      <c r="AC29" s="61">
        <f>SUM('P101'!$Y29:$AA29)</f>
        <v>2.75</v>
      </c>
      <c r="AD29" s="62">
        <v>1.0</v>
      </c>
      <c r="AE29" s="62">
        <v>5.0</v>
      </c>
      <c r="AF29" s="63" t="str">
        <f>IF('P101'!$AG29&gt;5.9,"SI","NO")</f>
        <v>SI</v>
      </c>
      <c r="AG29" s="64">
        <f>SUM('P101'!$AD29:$AE29)</f>
        <v>6</v>
      </c>
      <c r="AH29" s="65">
        <v>0.0</v>
      </c>
      <c r="AI29" s="65">
        <v>0.0</v>
      </c>
      <c r="AJ29" s="66">
        <f>AVERAGE('P101'!$AH29:$AI29)*'P101'!$H29</f>
        <v>0</v>
      </c>
      <c r="AK29" s="67">
        <v>0.0</v>
      </c>
      <c r="AL29" s="68">
        <v>0.0</v>
      </c>
      <c r="AM29" s="69">
        <v>0.0</v>
      </c>
      <c r="AN29" s="46">
        <f>(('P101'!$AL29+'P101'!$AM29))*'P101'!$AK29</f>
        <v>0</v>
      </c>
      <c r="AO29" s="70">
        <v>5.5</v>
      </c>
      <c r="AP29" s="71">
        <f>SUM('P101'!$U29)</f>
        <v>14.56468717</v>
      </c>
      <c r="AQ29" s="71">
        <f>SUM(AN29,AJ29,AG29,AC29,X29,'P101'!$AO29)</f>
        <v>21.94639218</v>
      </c>
      <c r="AR29" s="72">
        <f>'P101'!$AP29+'P101'!$AQ29</f>
        <v>36.51107935</v>
      </c>
    </row>
    <row r="30" ht="14.25" customHeight="1">
      <c r="A30" s="48" t="s">
        <v>109</v>
      </c>
      <c r="B30" s="49">
        <v>2.02300745E8</v>
      </c>
      <c r="C30" s="49" t="s">
        <v>110</v>
      </c>
      <c r="D30" s="50">
        <v>5.0</v>
      </c>
      <c r="E30" s="49"/>
      <c r="F30" s="51">
        <v>1.001001503</v>
      </c>
      <c r="G30" s="51">
        <v>1.0</v>
      </c>
      <c r="H30" s="51">
        <v>0.981243007</v>
      </c>
      <c r="I30" s="52">
        <v>2.25</v>
      </c>
      <c r="J30" s="53">
        <v>1.75</v>
      </c>
      <c r="K30" s="54">
        <v>4.1</v>
      </c>
      <c r="L30" s="55">
        <f>SUM('P101'!$I30:$K30)</f>
        <v>8.1</v>
      </c>
      <c r="M30" s="52">
        <v>3.0</v>
      </c>
      <c r="N30" s="53">
        <v>2.0</v>
      </c>
      <c r="O30" s="54">
        <v>5.0</v>
      </c>
      <c r="P30" s="55">
        <f>SUM('P101'!$M30:$O30)</f>
        <v>10</v>
      </c>
      <c r="Q30" s="52">
        <v>2.0</v>
      </c>
      <c r="R30" s="53">
        <v>1.75</v>
      </c>
      <c r="S30" s="54">
        <v>4.8</v>
      </c>
      <c r="T30" s="55">
        <f>SUM('P101'!$Q30:$S30)</f>
        <v>8.55</v>
      </c>
      <c r="U30" s="56">
        <f>('P101'!$L30+'P101'!$P30+'P101'!$T30)*'P101'!$F30</f>
        <v>26.67669005</v>
      </c>
      <c r="V30" s="57">
        <v>4.55</v>
      </c>
      <c r="W30" s="57">
        <v>6.4</v>
      </c>
      <c r="X30" s="58">
        <f>SUM('P101'!$V30:$W30)*'P101'!$G30</f>
        <v>10.95</v>
      </c>
      <c r="Y30" s="59">
        <v>1.5</v>
      </c>
      <c r="Z30" s="59">
        <v>0.0</v>
      </c>
      <c r="AA30" s="59">
        <v>4.5</v>
      </c>
      <c r="AB30" s="60" t="str">
        <f>IF(SUM('P101'!$Y30:$AA30)&gt;5.9,"SI","NO")</f>
        <v>SI</v>
      </c>
      <c r="AC30" s="61">
        <f>SUM('P101'!$Y30:$AA30)</f>
        <v>6</v>
      </c>
      <c r="AD30" s="62">
        <v>1.5</v>
      </c>
      <c r="AE30" s="62">
        <v>7.0</v>
      </c>
      <c r="AF30" s="63" t="str">
        <f>IF('P101'!$AG30&gt;5.9,"SI","NO")</f>
        <v>SI</v>
      </c>
      <c r="AG30" s="64">
        <f>SUM('P101'!$AD30:$AE30)</f>
        <v>8.5</v>
      </c>
      <c r="AH30" s="65">
        <v>3.0</v>
      </c>
      <c r="AI30" s="65">
        <v>4.5</v>
      </c>
      <c r="AJ30" s="66">
        <f>AVERAGE('P101'!$AH30:$AI30)*'P101'!$H30</f>
        <v>3.679661276</v>
      </c>
      <c r="AK30" s="67">
        <v>1.0</v>
      </c>
      <c r="AL30" s="68">
        <v>4.0</v>
      </c>
      <c r="AM30" s="69">
        <v>8.5</v>
      </c>
      <c r="AN30" s="46">
        <f>(('P101'!$AL30+'P101'!$AM30))*'P101'!$AK30</f>
        <v>12.5</v>
      </c>
      <c r="AO30" s="70">
        <v>10.0</v>
      </c>
      <c r="AP30" s="71">
        <f>SUM('P101'!$U30)</f>
        <v>26.67669005</v>
      </c>
      <c r="AQ30" s="71">
        <f>SUM(AN30,AJ30,AG30,AC30,X30,'P101'!$AO30)</f>
        <v>51.62966128</v>
      </c>
      <c r="AR30" s="79">
        <v>88.0</v>
      </c>
    </row>
    <row r="31" ht="14.25" customHeight="1">
      <c r="A31" s="48" t="s">
        <v>111</v>
      </c>
      <c r="B31" s="49">
        <v>2.02510152E8</v>
      </c>
      <c r="C31" s="49" t="s">
        <v>112</v>
      </c>
      <c r="D31" s="50">
        <v>3.0</v>
      </c>
      <c r="E31" s="49"/>
      <c r="F31" s="51">
        <v>0.998937865</v>
      </c>
      <c r="G31" s="51">
        <v>1.008154219</v>
      </c>
      <c r="H31" s="51">
        <v>0.994778032</v>
      </c>
      <c r="I31" s="52">
        <v>3.0</v>
      </c>
      <c r="J31" s="53">
        <v>1.0</v>
      </c>
      <c r="K31" s="54">
        <v>4.1</v>
      </c>
      <c r="L31" s="55">
        <f>SUM('P101'!$I31:$K31)</f>
        <v>8.1</v>
      </c>
      <c r="M31" s="52">
        <v>3.0</v>
      </c>
      <c r="N31" s="53">
        <v>2.0</v>
      </c>
      <c r="O31" s="54">
        <v>5.0</v>
      </c>
      <c r="P31" s="55">
        <f>SUM('P101'!$M31:$O31)</f>
        <v>10</v>
      </c>
      <c r="Q31" s="52">
        <v>1.5</v>
      </c>
      <c r="R31" s="53">
        <v>2.0</v>
      </c>
      <c r="S31" s="54">
        <v>0.0</v>
      </c>
      <c r="T31" s="55">
        <f>SUM('P101'!$Q31:$S31)</f>
        <v>3.5</v>
      </c>
      <c r="U31" s="56">
        <f>('P101'!$L31+'P101'!$P31+'P101'!$T31)*'P101'!$F31</f>
        <v>21.57705788</v>
      </c>
      <c r="V31" s="57">
        <v>3.25</v>
      </c>
      <c r="W31" s="57">
        <v>5.2</v>
      </c>
      <c r="X31" s="58">
        <f>SUM('P101'!$V31:$W31)*'P101'!$G31</f>
        <v>8.518903151</v>
      </c>
      <c r="Y31" s="59">
        <v>1.5</v>
      </c>
      <c r="Z31" s="59">
        <v>0.0</v>
      </c>
      <c r="AA31" s="59">
        <v>1.25</v>
      </c>
      <c r="AB31" s="60" t="str">
        <f>IF(SUM('P101'!$Y31:$AA31)&gt;5.9,"SI","NO")</f>
        <v>NO</v>
      </c>
      <c r="AC31" s="61">
        <f>SUM('P101'!$Y31:$AA31)</f>
        <v>2.75</v>
      </c>
      <c r="AD31" s="62">
        <v>1.0</v>
      </c>
      <c r="AE31" s="62">
        <v>5.25</v>
      </c>
      <c r="AF31" s="63" t="str">
        <f>IF('P101'!$AG31&gt;5.9,"SI","NO")</f>
        <v>SI</v>
      </c>
      <c r="AG31" s="64">
        <f>SUM('P101'!$AD31:$AE31)</f>
        <v>6.25</v>
      </c>
      <c r="AH31" s="65">
        <v>4.5</v>
      </c>
      <c r="AI31" s="65">
        <v>5.0</v>
      </c>
      <c r="AJ31" s="66">
        <f>AVERAGE('P101'!$AH31:$AI31)*'P101'!$H31</f>
        <v>4.725195652</v>
      </c>
      <c r="AK31" s="67">
        <v>0.0</v>
      </c>
      <c r="AL31" s="68">
        <v>0.0</v>
      </c>
      <c r="AM31" s="69">
        <v>0.0</v>
      </c>
      <c r="AN31" s="46">
        <f>(('P101'!$AL31+'P101'!$AM31))*'P101'!$AK31</f>
        <v>0</v>
      </c>
      <c r="AO31" s="70">
        <v>7.5</v>
      </c>
      <c r="AP31" s="71">
        <f>SUM('P101'!$U31)</f>
        <v>21.57705788</v>
      </c>
      <c r="AQ31" s="71">
        <f>SUM(AN31,AJ31,AG31,AC31,X31,'P101'!$AO31)</f>
        <v>29.7440988</v>
      </c>
      <c r="AR31" s="72">
        <f>'P101'!$AP31+'P101'!$AQ31</f>
        <v>51.32115669</v>
      </c>
    </row>
    <row r="32" ht="14.25" customHeight="1">
      <c r="A32" s="48" t="s">
        <v>113</v>
      </c>
      <c r="B32" s="49">
        <v>2.02315552E8</v>
      </c>
      <c r="C32" s="49" t="s">
        <v>114</v>
      </c>
      <c r="D32" s="50">
        <v>4.0</v>
      </c>
      <c r="E32" s="49"/>
      <c r="F32" s="51">
        <v>0.963952042</v>
      </c>
      <c r="G32" s="51">
        <v>1.05235742</v>
      </c>
      <c r="H32" s="51">
        <v>0.5</v>
      </c>
      <c r="I32" s="52">
        <v>3.0</v>
      </c>
      <c r="J32" s="53">
        <v>0.75</v>
      </c>
      <c r="K32" s="54">
        <v>4.9</v>
      </c>
      <c r="L32" s="55">
        <f>SUM('P101'!$I32:$K32)</f>
        <v>8.65</v>
      </c>
      <c r="M32" s="52">
        <v>3.0</v>
      </c>
      <c r="N32" s="53">
        <v>2.0</v>
      </c>
      <c r="O32" s="54">
        <v>5.0</v>
      </c>
      <c r="P32" s="55">
        <f>SUM('P101'!$M32:$O32)</f>
        <v>10</v>
      </c>
      <c r="Q32" s="52">
        <v>3.0</v>
      </c>
      <c r="R32" s="53">
        <v>2.0</v>
      </c>
      <c r="S32" s="54">
        <v>5.0</v>
      </c>
      <c r="T32" s="55">
        <f>SUM('P101'!$Q32:$S32)</f>
        <v>10</v>
      </c>
      <c r="U32" s="56">
        <f>('P101'!$L32+'P101'!$P32+'P101'!$T32)*'P101'!$F32</f>
        <v>27.617226</v>
      </c>
      <c r="V32" s="57">
        <v>4.6</v>
      </c>
      <c r="W32" s="57">
        <v>8.3</v>
      </c>
      <c r="X32" s="58">
        <f>SUM('P101'!$V32:$W32)*'P101'!$G32</f>
        <v>13.57541072</v>
      </c>
      <c r="Y32" s="80">
        <v>1.0</v>
      </c>
      <c r="Z32" s="59">
        <v>0.0</v>
      </c>
      <c r="AA32" s="81">
        <v>5.0</v>
      </c>
      <c r="AB32" s="60" t="str">
        <f>IF(SUM('P101'!$Y32:$AA32)&gt;5.9,"SI","NO")</f>
        <v>SI</v>
      </c>
      <c r="AC32" s="61">
        <f>SUM('P101'!$Y32:$AA32)</f>
        <v>6</v>
      </c>
      <c r="AD32" s="62">
        <v>2.0</v>
      </c>
      <c r="AE32" s="62">
        <v>4.0</v>
      </c>
      <c r="AF32" s="63" t="str">
        <f>IF('P101'!$AG32&gt;5.9,"SI","NO")</f>
        <v>SI</v>
      </c>
      <c r="AG32" s="64">
        <f>SUM('P101'!$AD32:$AE32)</f>
        <v>6</v>
      </c>
      <c r="AH32" s="65">
        <v>4.5</v>
      </c>
      <c r="AI32" s="65">
        <v>4.5</v>
      </c>
      <c r="AJ32" s="66">
        <f>AVERAGE('P101'!$AH32:$AI32)*'P101'!$H32</f>
        <v>2.25</v>
      </c>
      <c r="AK32" s="67">
        <v>1.0</v>
      </c>
      <c r="AL32" s="68">
        <v>8.5</v>
      </c>
      <c r="AM32" s="69">
        <v>8.5</v>
      </c>
      <c r="AN32" s="46">
        <f>(('P101'!$AL32+'P101'!$AM32))*'P101'!$AK32</f>
        <v>17</v>
      </c>
      <c r="AO32" s="70">
        <v>10.0</v>
      </c>
      <c r="AP32" s="71">
        <f>SUM('P101'!$U32)</f>
        <v>27.617226</v>
      </c>
      <c r="AQ32" s="71">
        <f>SUM(AN32,AJ32,AG32,AC32,X32,'P101'!$AO32)</f>
        <v>54.82541072</v>
      </c>
      <c r="AR32" s="72">
        <f>'P101'!$AP32+'P101'!$AQ32</f>
        <v>82.44263672</v>
      </c>
    </row>
    <row r="33" ht="14.25" customHeight="1">
      <c r="A33" s="48" t="s">
        <v>115</v>
      </c>
      <c r="B33" s="49">
        <v>2.02501904E8</v>
      </c>
      <c r="C33" s="49" t="s">
        <v>116</v>
      </c>
      <c r="D33" s="50">
        <v>9.0</v>
      </c>
      <c r="E33" s="49"/>
      <c r="F33" s="51">
        <v>1.055265723</v>
      </c>
      <c r="G33" s="51">
        <v>1.080686454</v>
      </c>
      <c r="H33" s="51">
        <v>1.007372401</v>
      </c>
      <c r="I33" s="52">
        <v>3.0</v>
      </c>
      <c r="J33" s="53">
        <v>1.25</v>
      </c>
      <c r="K33" s="54">
        <v>4.15</v>
      </c>
      <c r="L33" s="55">
        <f>SUM('P101'!$I33:$K33)</f>
        <v>8.4</v>
      </c>
      <c r="M33" s="52">
        <v>3.0</v>
      </c>
      <c r="N33" s="53">
        <v>2.0</v>
      </c>
      <c r="O33" s="54">
        <v>5.0</v>
      </c>
      <c r="P33" s="55">
        <f>SUM('P101'!$M33:$O33)</f>
        <v>10</v>
      </c>
      <c r="Q33" s="52">
        <v>0.75</v>
      </c>
      <c r="R33" s="53">
        <v>1.5</v>
      </c>
      <c r="S33" s="54">
        <v>0.0</v>
      </c>
      <c r="T33" s="55">
        <f>SUM('P101'!$Q33:$S33)</f>
        <v>2.25</v>
      </c>
      <c r="U33" s="56">
        <f>('P101'!$L33+'P101'!$P33+'P101'!$T33)*'P101'!$F33</f>
        <v>21.79123718</v>
      </c>
      <c r="V33" s="57">
        <v>4.55</v>
      </c>
      <c r="W33" s="57">
        <v>3.1</v>
      </c>
      <c r="X33" s="58">
        <f>SUM('P101'!$V33:$W33)*'P101'!$G33</f>
        <v>8.267251373</v>
      </c>
      <c r="Y33" s="59">
        <v>1.0</v>
      </c>
      <c r="Z33" s="59">
        <v>0.0</v>
      </c>
      <c r="AA33" s="59">
        <v>1.25</v>
      </c>
      <c r="AB33" s="60" t="str">
        <f>IF(SUM('P101'!$Y33:$AA33)&gt;5.9,"SI","NO")</f>
        <v>NO</v>
      </c>
      <c r="AC33" s="61">
        <f>SUM('P101'!$Y33:$AA33)</f>
        <v>2.25</v>
      </c>
      <c r="AD33" s="62">
        <v>1.0</v>
      </c>
      <c r="AE33" s="62">
        <v>5.0</v>
      </c>
      <c r="AF33" s="63" t="str">
        <f>IF('P101'!$AG33&gt;5.9,"SI","NO")</f>
        <v>SI</v>
      </c>
      <c r="AG33" s="64">
        <f>SUM('P101'!$AD33:$AE33)</f>
        <v>6</v>
      </c>
      <c r="AH33" s="65">
        <v>0.0</v>
      </c>
      <c r="AI33" s="65">
        <v>0.0</v>
      </c>
      <c r="AJ33" s="66">
        <f>AVERAGE('P101'!$AH33:$AI33)*'P101'!$H33</f>
        <v>0</v>
      </c>
      <c r="AK33" s="67">
        <v>0.0</v>
      </c>
      <c r="AL33" s="68">
        <v>0.0</v>
      </c>
      <c r="AM33" s="69">
        <v>0.0</v>
      </c>
      <c r="AN33" s="46">
        <f>(('P101'!$AL33+'P101'!$AM33))*'P101'!$AK33</f>
        <v>0</v>
      </c>
      <c r="AO33" s="70">
        <v>5.5</v>
      </c>
      <c r="AP33" s="71">
        <f>SUM('P101'!$U33)</f>
        <v>21.79123718</v>
      </c>
      <c r="AQ33" s="71">
        <f>SUM(AN33,AJ33,AG33,AC33,X33,'P101'!$AO33)</f>
        <v>22.01725137</v>
      </c>
      <c r="AR33" s="72">
        <f>'P101'!$AP33+'P101'!$AQ33</f>
        <v>43.80848855</v>
      </c>
    </row>
    <row r="34" ht="14.25" customHeight="1">
      <c r="A34" s="48" t="s">
        <v>117</v>
      </c>
      <c r="B34" s="49">
        <v>2.02506929E8</v>
      </c>
      <c r="C34" s="49" t="s">
        <v>118</v>
      </c>
      <c r="D34" s="50">
        <v>10.0</v>
      </c>
      <c r="E34" s="49"/>
      <c r="F34" s="51">
        <v>1.0</v>
      </c>
      <c r="G34" s="51">
        <v>0.976926796</v>
      </c>
      <c r="H34" s="51">
        <v>1.019294383</v>
      </c>
      <c r="I34" s="52">
        <v>3.0</v>
      </c>
      <c r="J34" s="53">
        <v>2.0</v>
      </c>
      <c r="K34" s="54">
        <v>4.7</v>
      </c>
      <c r="L34" s="55">
        <f>SUM('P101'!$I34:$K34)</f>
        <v>9.7</v>
      </c>
      <c r="M34" s="52">
        <v>3.0</v>
      </c>
      <c r="N34" s="53">
        <v>2.0</v>
      </c>
      <c r="O34" s="54">
        <v>5.0</v>
      </c>
      <c r="P34" s="55">
        <f>SUM('P101'!$M34:$O34)</f>
        <v>10</v>
      </c>
      <c r="Q34" s="52">
        <v>1.0</v>
      </c>
      <c r="R34" s="53">
        <v>2.0</v>
      </c>
      <c r="S34" s="54">
        <v>0.0</v>
      </c>
      <c r="T34" s="55">
        <f>SUM('P101'!$Q34:$S34)</f>
        <v>3</v>
      </c>
      <c r="U34" s="56">
        <f>('P101'!$L34+'P101'!$P34+'P101'!$T34)*'P101'!$F34</f>
        <v>22.7</v>
      </c>
      <c r="V34" s="57">
        <v>4.05</v>
      </c>
      <c r="W34" s="57">
        <v>6.0</v>
      </c>
      <c r="X34" s="58">
        <f>SUM('P101'!$V34:$W34)*'P101'!$G34</f>
        <v>9.8181143</v>
      </c>
      <c r="Y34" s="59">
        <v>2.0</v>
      </c>
      <c r="Z34" s="59">
        <v>1.5</v>
      </c>
      <c r="AA34" s="59">
        <v>2.5</v>
      </c>
      <c r="AB34" s="60" t="str">
        <f>IF(SUM('P101'!$Y34:$AA34)&gt;5.9,"SI","NO")</f>
        <v>SI</v>
      </c>
      <c r="AC34" s="61">
        <f>SUM('P101'!$Y34:$AA34)</f>
        <v>6</v>
      </c>
      <c r="AD34" s="62">
        <v>1.5</v>
      </c>
      <c r="AE34" s="62">
        <v>5.0</v>
      </c>
      <c r="AF34" s="63" t="str">
        <f>IF('P101'!$AG34&gt;5.9,"SI","NO")</f>
        <v>SI</v>
      </c>
      <c r="AG34" s="64">
        <f>SUM('P101'!$AD34:$AE34)</f>
        <v>6.5</v>
      </c>
      <c r="AH34" s="65">
        <v>0.0</v>
      </c>
      <c r="AI34" s="65">
        <v>0.0</v>
      </c>
      <c r="AJ34" s="66">
        <f>AVERAGE('P101'!$AH34:$AI34)*'P101'!$H34</f>
        <v>0</v>
      </c>
      <c r="AK34" s="67">
        <v>0.0</v>
      </c>
      <c r="AL34" s="68">
        <v>0.0</v>
      </c>
      <c r="AM34" s="69">
        <v>0.0</v>
      </c>
      <c r="AN34" s="46">
        <f>(('P101'!$AL34+'P101'!$AM34))*'P101'!$AK34</f>
        <v>0</v>
      </c>
      <c r="AO34" s="70">
        <v>8.5</v>
      </c>
      <c r="AP34" s="71">
        <f>SUM('P101'!$U34)</f>
        <v>22.7</v>
      </c>
      <c r="AQ34" s="71">
        <f>SUM(AN34,AJ34,AG34,AC34,X34,'P101'!$AO34)</f>
        <v>30.8181143</v>
      </c>
      <c r="AR34" s="72">
        <f>'P101'!$AP34+'P101'!$AQ34</f>
        <v>53.5181143</v>
      </c>
    </row>
    <row r="35" ht="14.25" customHeight="1">
      <c r="A35" s="48" t="s">
        <v>119</v>
      </c>
      <c r="B35" s="49">
        <v>2.02507158E8</v>
      </c>
      <c r="C35" s="49" t="s">
        <v>120</v>
      </c>
      <c r="D35" s="50">
        <v>8.0</v>
      </c>
      <c r="E35" s="49"/>
      <c r="F35" s="51">
        <v>0.868863288</v>
      </c>
      <c r="G35" s="51">
        <v>0.5</v>
      </c>
      <c r="H35" s="51">
        <v>0.994778032</v>
      </c>
      <c r="I35" s="52">
        <v>3.0</v>
      </c>
      <c r="J35" s="53">
        <v>1.25</v>
      </c>
      <c r="K35" s="54">
        <v>2.1</v>
      </c>
      <c r="L35" s="55">
        <f>SUM('P101'!$I35:$K35)</f>
        <v>6.35</v>
      </c>
      <c r="M35" s="52">
        <v>0.0</v>
      </c>
      <c r="N35" s="53">
        <v>0.0</v>
      </c>
      <c r="O35" s="54">
        <v>0.0</v>
      </c>
      <c r="P35" s="55">
        <f>SUM('P101'!$M35:$O35)</f>
        <v>0</v>
      </c>
      <c r="Q35" s="52">
        <v>2.25</v>
      </c>
      <c r="R35" s="53">
        <v>2.0</v>
      </c>
      <c r="S35" s="54">
        <v>0.0</v>
      </c>
      <c r="T35" s="55">
        <f>SUM('P101'!$Q35:$S35)</f>
        <v>4.25</v>
      </c>
      <c r="U35" s="56">
        <f>('P101'!$L35+'P101'!$P35+'P101'!$T35)*'P101'!$F35</f>
        <v>9.209950853</v>
      </c>
      <c r="V35" s="57">
        <v>4.4</v>
      </c>
      <c r="W35" s="57">
        <v>7.3</v>
      </c>
      <c r="X35" s="58">
        <f>SUM('P101'!$V35:$W35)*'P101'!$G35</f>
        <v>5.85</v>
      </c>
      <c r="Y35" s="59">
        <v>1.0</v>
      </c>
      <c r="Z35" s="59">
        <v>0.0</v>
      </c>
      <c r="AA35" s="59">
        <v>2.5</v>
      </c>
      <c r="AB35" s="60" t="str">
        <f>IF(SUM('P101'!$Y35:$AA35)&gt;5.9,"SI","NO")</f>
        <v>NO</v>
      </c>
      <c r="AC35" s="61">
        <f>SUM('P101'!$Y35:$AA35)</f>
        <v>3.5</v>
      </c>
      <c r="AD35" s="62">
        <v>2.0</v>
      </c>
      <c r="AE35" s="62">
        <v>4.0</v>
      </c>
      <c r="AF35" s="63" t="str">
        <f>IF('P101'!$AG35&gt;5.9,"SI","NO")</f>
        <v>SI</v>
      </c>
      <c r="AG35" s="64">
        <f>SUM('P101'!$AD35:$AE35)</f>
        <v>6</v>
      </c>
      <c r="AH35" s="65">
        <v>4.0</v>
      </c>
      <c r="AI35" s="65">
        <v>0.0</v>
      </c>
      <c r="AJ35" s="66">
        <f>AVERAGE('P101'!$AH35:$AI35)*'P101'!$H35</f>
        <v>1.989556064</v>
      </c>
      <c r="AK35" s="67">
        <v>1.0</v>
      </c>
      <c r="AL35" s="68">
        <v>0.0</v>
      </c>
      <c r="AM35" s="69">
        <v>0.0</v>
      </c>
      <c r="AN35" s="46">
        <f>(('P101'!$AL35+'P101'!$AM35))*'P101'!$AK35</f>
        <v>0</v>
      </c>
      <c r="AO35" s="70">
        <v>9.5</v>
      </c>
      <c r="AP35" s="71">
        <f>SUM('P101'!$U35)</f>
        <v>9.209950853</v>
      </c>
      <c r="AQ35" s="71">
        <f>SUM(AN35,AJ35,AG35,AC35,X35,'P101'!$AO35)</f>
        <v>26.83955606</v>
      </c>
      <c r="AR35" s="72">
        <f>'P101'!$AP35+'P101'!$AQ35</f>
        <v>36.04950692</v>
      </c>
    </row>
    <row r="36" ht="14.25" customHeight="1">
      <c r="A36" s="48" t="s">
        <v>121</v>
      </c>
      <c r="B36" s="49">
        <v>2.02502837E8</v>
      </c>
      <c r="C36" s="49" t="s">
        <v>122</v>
      </c>
      <c r="D36" s="50">
        <v>1.0</v>
      </c>
      <c r="E36" s="49"/>
      <c r="F36" s="51">
        <v>1.11704414</v>
      </c>
      <c r="G36" s="51">
        <v>1.069044968</v>
      </c>
      <c r="H36" s="51">
        <v>1.320742557</v>
      </c>
      <c r="I36" s="52">
        <v>3.0</v>
      </c>
      <c r="J36" s="53">
        <v>1.25</v>
      </c>
      <c r="K36" s="54">
        <v>5.0</v>
      </c>
      <c r="L36" s="55">
        <f>SUM('P101'!$I36:$K36)</f>
        <v>9.25</v>
      </c>
      <c r="M36" s="52">
        <v>3.0</v>
      </c>
      <c r="N36" s="53">
        <v>2.0</v>
      </c>
      <c r="O36" s="54">
        <v>5.0</v>
      </c>
      <c r="P36" s="55">
        <f>SUM('P101'!$M36:$O36)</f>
        <v>10</v>
      </c>
      <c r="Q36" s="52">
        <v>1.25</v>
      </c>
      <c r="R36" s="53">
        <v>1.75</v>
      </c>
      <c r="S36" s="73">
        <v>2.8</v>
      </c>
      <c r="T36" s="55">
        <f>SUM('P101'!$Q36:$S36)</f>
        <v>5.8</v>
      </c>
      <c r="U36" s="56">
        <f>('P101'!$L36+'P101'!$P36+'P101'!$T36)*'P101'!$F36</f>
        <v>27.98195571</v>
      </c>
      <c r="V36" s="57">
        <v>4.65</v>
      </c>
      <c r="W36" s="57">
        <v>6.8</v>
      </c>
      <c r="X36" s="58">
        <f>SUM('P101'!$V36:$W36)*'P101'!$G36</f>
        <v>12.24056488</v>
      </c>
      <c r="Y36" s="59">
        <v>1.5</v>
      </c>
      <c r="Z36" s="59">
        <v>0.0</v>
      </c>
      <c r="AA36" s="82">
        <v>5.0</v>
      </c>
      <c r="AB36" s="60" t="str">
        <f>IF(SUM('P101'!$Y36:$AA36)&gt;5.9,"SI","NO")</f>
        <v>SI</v>
      </c>
      <c r="AC36" s="61">
        <f>SUM('P101'!$Y36:$AA36)</f>
        <v>6.5</v>
      </c>
      <c r="AD36" s="62">
        <v>1.5</v>
      </c>
      <c r="AE36" s="62">
        <v>5.5</v>
      </c>
      <c r="AF36" s="63" t="str">
        <f>IF('P101'!$AG36&gt;5.9,"SI","NO")</f>
        <v>SI</v>
      </c>
      <c r="AG36" s="64">
        <f>SUM('P101'!$AD36:$AE36)</f>
        <v>7</v>
      </c>
      <c r="AH36" s="65">
        <v>4.0</v>
      </c>
      <c r="AI36" s="65">
        <v>5.0</v>
      </c>
      <c r="AJ36" s="66">
        <f>AVERAGE('P101'!$AH36:$AI36)*'P101'!$H36</f>
        <v>5.943341507</v>
      </c>
      <c r="AK36" s="67">
        <v>1.0</v>
      </c>
      <c r="AL36" s="68">
        <v>6.0</v>
      </c>
      <c r="AM36" s="69">
        <v>8.0</v>
      </c>
      <c r="AN36" s="46">
        <f>(('P101'!$AL36+'P101'!$AM36))*'P101'!$AK36</f>
        <v>14</v>
      </c>
      <c r="AO36" s="70">
        <v>9.75</v>
      </c>
      <c r="AP36" s="71">
        <f>SUM('P101'!$U36)</f>
        <v>27.98195571</v>
      </c>
      <c r="AQ36" s="71">
        <f>SUM(AN36,AJ36,AG36,AC36,X36,'P101'!$AO36)</f>
        <v>55.43390639</v>
      </c>
      <c r="AR36" s="72">
        <f>'P101'!$AP36+'P101'!$AQ36</f>
        <v>83.4158621</v>
      </c>
    </row>
    <row r="37" ht="14.25" customHeight="1">
      <c r="A37" s="48" t="s">
        <v>123</v>
      </c>
      <c r="B37" s="49">
        <v>2.02202586E8</v>
      </c>
      <c r="C37" s="49" t="s">
        <v>124</v>
      </c>
      <c r="D37" s="50">
        <v>8.0</v>
      </c>
      <c r="E37" s="49"/>
      <c r="F37" s="51">
        <v>1.024855223</v>
      </c>
      <c r="G37" s="51">
        <v>0.99849737</v>
      </c>
      <c r="H37" s="51">
        <v>0.994778032</v>
      </c>
      <c r="I37" s="52">
        <v>2.25</v>
      </c>
      <c r="J37" s="53">
        <v>1.25</v>
      </c>
      <c r="K37" s="54">
        <v>2.1</v>
      </c>
      <c r="L37" s="55">
        <f>SUM('P101'!$I37:$K37)</f>
        <v>5.6</v>
      </c>
      <c r="M37" s="52">
        <v>3.0</v>
      </c>
      <c r="N37" s="53">
        <v>2.0</v>
      </c>
      <c r="O37" s="54">
        <v>5.0</v>
      </c>
      <c r="P37" s="55">
        <f>SUM('P101'!$M37:$O37)</f>
        <v>10</v>
      </c>
      <c r="Q37" s="52">
        <v>2.25</v>
      </c>
      <c r="R37" s="53">
        <v>2.0</v>
      </c>
      <c r="S37" s="54">
        <v>3.85</v>
      </c>
      <c r="T37" s="55">
        <f>SUM('P101'!$Q37:$S37)</f>
        <v>8.1</v>
      </c>
      <c r="U37" s="56">
        <f>('P101'!$L37+'P101'!$P37+'P101'!$T37)*'P101'!$F37</f>
        <v>24.28906879</v>
      </c>
      <c r="V37" s="57">
        <v>4.4</v>
      </c>
      <c r="W37" s="57">
        <v>7.3</v>
      </c>
      <c r="X37" s="58">
        <f>SUM('P101'!$V37:$W37)*'P101'!$G37</f>
        <v>11.68241923</v>
      </c>
      <c r="Y37" s="59">
        <v>2.0</v>
      </c>
      <c r="Z37" s="59">
        <v>0.0</v>
      </c>
      <c r="AA37" s="59">
        <v>4.0</v>
      </c>
      <c r="AB37" s="60" t="str">
        <f>IF(SUM('P101'!$Y37:$AA37)&gt;5.9,"SI","NO")</f>
        <v>SI</v>
      </c>
      <c r="AC37" s="61">
        <f>SUM('P101'!$Y37:$AA37)</f>
        <v>6</v>
      </c>
      <c r="AD37" s="62">
        <v>2.0</v>
      </c>
      <c r="AE37" s="62">
        <v>4.0</v>
      </c>
      <c r="AF37" s="63" t="str">
        <f>IF('P101'!$AG37&gt;5.9,"SI","NO")</f>
        <v>SI</v>
      </c>
      <c r="AG37" s="64">
        <f>SUM('P101'!$AD37:$AE37)</f>
        <v>6</v>
      </c>
      <c r="AH37" s="65">
        <v>4.0</v>
      </c>
      <c r="AI37" s="65">
        <v>5.0</v>
      </c>
      <c r="AJ37" s="66">
        <f>AVERAGE('P101'!$AH37:$AI37)*'P101'!$H37</f>
        <v>4.476501144</v>
      </c>
      <c r="AK37" s="67">
        <v>1.0</v>
      </c>
      <c r="AL37" s="68">
        <v>7.0</v>
      </c>
      <c r="AM37" s="69">
        <v>7.0</v>
      </c>
      <c r="AN37" s="46">
        <f>(('P101'!$AL37+'P101'!$AM37))*'P101'!$AK37</f>
        <v>14</v>
      </c>
      <c r="AO37" s="70">
        <v>9.5</v>
      </c>
      <c r="AP37" s="71">
        <f>SUM('P101'!$U37)</f>
        <v>24.28906879</v>
      </c>
      <c r="AQ37" s="71">
        <f>SUM(AN37,AJ37,AG37,AC37,X37,'P101'!$AO37)</f>
        <v>51.65892037</v>
      </c>
      <c r="AR37" s="72">
        <f>'P101'!$AP37+'P101'!$AQ37</f>
        <v>75.94798916</v>
      </c>
    </row>
    <row r="38" ht="14.25" customHeight="1">
      <c r="A38" s="48" t="s">
        <v>125</v>
      </c>
      <c r="B38" s="49">
        <v>2.02501276E8</v>
      </c>
      <c r="C38" s="49" t="s">
        <v>126</v>
      </c>
      <c r="D38" s="50">
        <v>10.0</v>
      </c>
      <c r="E38" s="49"/>
      <c r="F38" s="51">
        <v>1.0</v>
      </c>
      <c r="G38" s="51">
        <v>1.00524938</v>
      </c>
      <c r="H38" s="51">
        <v>1.019294383</v>
      </c>
      <c r="I38" s="52">
        <v>2.25</v>
      </c>
      <c r="J38" s="53">
        <v>2.0</v>
      </c>
      <c r="K38" s="54">
        <v>4.7</v>
      </c>
      <c r="L38" s="55">
        <f>SUM('P101'!$I38:$K38)</f>
        <v>8.95</v>
      </c>
      <c r="M38" s="52">
        <v>3.0</v>
      </c>
      <c r="N38" s="53">
        <v>2.0</v>
      </c>
      <c r="O38" s="54">
        <v>5.0</v>
      </c>
      <c r="P38" s="55">
        <f>SUM('P101'!$M38:$O38)</f>
        <v>10</v>
      </c>
      <c r="Q38" s="52">
        <v>2.25</v>
      </c>
      <c r="R38" s="53">
        <v>2.0</v>
      </c>
      <c r="S38" s="54">
        <v>4.45</v>
      </c>
      <c r="T38" s="55">
        <f>SUM('P101'!$Q38:$S38)</f>
        <v>8.7</v>
      </c>
      <c r="U38" s="56">
        <f>('P101'!$L38+'P101'!$P38+'P101'!$T38)*'P101'!$F38</f>
        <v>27.65</v>
      </c>
      <c r="V38" s="57">
        <v>4.05</v>
      </c>
      <c r="W38" s="57">
        <v>6.0</v>
      </c>
      <c r="X38" s="58">
        <f>SUM('P101'!$V38:$W38)*'P101'!$G38</f>
        <v>10.10275627</v>
      </c>
      <c r="Y38" s="59">
        <v>2.0</v>
      </c>
      <c r="Z38" s="59">
        <v>1.5</v>
      </c>
      <c r="AA38" s="59">
        <v>3.75</v>
      </c>
      <c r="AB38" s="60" t="str">
        <f>IF(SUM('P101'!$Y38:$AA38)&gt;5.9,"SI","NO")</f>
        <v>SI</v>
      </c>
      <c r="AC38" s="61">
        <f>SUM('P101'!$Y38:$AA38)</f>
        <v>7.25</v>
      </c>
      <c r="AD38" s="62">
        <v>1.5</v>
      </c>
      <c r="AE38" s="62">
        <v>5.0</v>
      </c>
      <c r="AF38" s="63" t="str">
        <f>IF('P101'!$AG38&gt;5.9,"SI","NO")</f>
        <v>SI</v>
      </c>
      <c r="AG38" s="64">
        <f>SUM('P101'!$AD38:$AE38)</f>
        <v>6.5</v>
      </c>
      <c r="AH38" s="65">
        <v>0.0</v>
      </c>
      <c r="AI38" s="65">
        <v>0.0</v>
      </c>
      <c r="AJ38" s="66">
        <f>AVERAGE('P101'!$AH38:$AI38)*'P101'!$H38</f>
        <v>0</v>
      </c>
      <c r="AK38" s="67">
        <v>0.0</v>
      </c>
      <c r="AL38" s="68">
        <v>0.0</v>
      </c>
      <c r="AM38" s="69">
        <v>0.0</v>
      </c>
      <c r="AN38" s="46">
        <f>(('P101'!$AL38+'P101'!$AM38))*'P101'!$AK38</f>
        <v>0</v>
      </c>
      <c r="AO38" s="70">
        <v>8.5</v>
      </c>
      <c r="AP38" s="71">
        <f>SUM('P101'!$U38)</f>
        <v>27.65</v>
      </c>
      <c r="AQ38" s="71">
        <f>SUM(AN38,AJ38,AG38,AC38,X38,'P101'!$AO38)</f>
        <v>32.35275627</v>
      </c>
      <c r="AR38" s="72">
        <f>'P101'!$AP38+'P101'!$AQ38</f>
        <v>60.00275627</v>
      </c>
    </row>
    <row r="39" ht="14.25" customHeight="1">
      <c r="A39" s="48" t="s">
        <v>127</v>
      </c>
      <c r="B39" s="49">
        <v>2.02504981E8</v>
      </c>
      <c r="C39" s="49" t="s">
        <v>128</v>
      </c>
      <c r="D39" s="50">
        <v>4.0</v>
      </c>
      <c r="E39" s="49"/>
      <c r="F39" s="51">
        <v>1.051757905</v>
      </c>
      <c r="G39" s="51">
        <v>1.083164629</v>
      </c>
      <c r="H39" s="51">
        <v>1.008889064</v>
      </c>
      <c r="I39" s="52">
        <v>3.0</v>
      </c>
      <c r="J39" s="53">
        <v>0.75</v>
      </c>
      <c r="K39" s="54">
        <v>4.9</v>
      </c>
      <c r="L39" s="55">
        <f>SUM('P101'!$I39:$K39)</f>
        <v>8.65</v>
      </c>
      <c r="M39" s="52">
        <v>3.0</v>
      </c>
      <c r="N39" s="53">
        <v>2.0</v>
      </c>
      <c r="O39" s="54">
        <v>5.0</v>
      </c>
      <c r="P39" s="55">
        <f>SUM('P101'!$M39:$O39)</f>
        <v>10</v>
      </c>
      <c r="Q39" s="52">
        <v>0.88</v>
      </c>
      <c r="R39" s="53">
        <v>2.0</v>
      </c>
      <c r="S39" s="54">
        <v>0.0</v>
      </c>
      <c r="T39" s="55">
        <f>SUM('P101'!$Q39:$S39)</f>
        <v>2.88</v>
      </c>
      <c r="U39" s="56">
        <f>('P101'!$L39+'P101'!$P39+'P101'!$T39)*'P101'!$F39</f>
        <v>22.64434769</v>
      </c>
      <c r="V39" s="57">
        <v>4.6</v>
      </c>
      <c r="W39" s="57">
        <v>8.3</v>
      </c>
      <c r="X39" s="58">
        <f>SUM('P101'!$V39:$W39)*'P101'!$G39</f>
        <v>13.97282371</v>
      </c>
      <c r="Y39" s="59">
        <v>1.5</v>
      </c>
      <c r="Z39" s="59">
        <v>0.0</v>
      </c>
      <c r="AA39" s="59">
        <v>3.0</v>
      </c>
      <c r="AB39" s="60" t="str">
        <f>IF(SUM('P101'!$Y39:$AA39)&gt;5.9,"SI","NO")</f>
        <v>NO</v>
      </c>
      <c r="AC39" s="61">
        <f>SUM('P101'!$Y39:$AA39)</f>
        <v>4.5</v>
      </c>
      <c r="AD39" s="62">
        <v>2.0</v>
      </c>
      <c r="AE39" s="62">
        <v>4.0</v>
      </c>
      <c r="AF39" s="63" t="str">
        <f>IF('P101'!$AG39&gt;5.9,"SI","NO")</f>
        <v>SI</v>
      </c>
      <c r="AG39" s="64">
        <f>SUM('P101'!$AD39:$AE39)</f>
        <v>6</v>
      </c>
      <c r="AH39" s="65">
        <v>4.5</v>
      </c>
      <c r="AI39" s="65">
        <v>4.5</v>
      </c>
      <c r="AJ39" s="66">
        <f>AVERAGE('P101'!$AH39:$AI39)*'P101'!$H39</f>
        <v>4.540000788</v>
      </c>
      <c r="AK39" s="67">
        <v>1.0</v>
      </c>
      <c r="AL39" s="68">
        <v>0.0</v>
      </c>
      <c r="AM39" s="69">
        <v>0.0</v>
      </c>
      <c r="AN39" s="46">
        <f>(('P101'!$AL39+'P101'!$AM39))*'P101'!$AK39</f>
        <v>0</v>
      </c>
      <c r="AO39" s="70">
        <v>10.0</v>
      </c>
      <c r="AP39" s="71">
        <f>SUM('P101'!$U39)</f>
        <v>22.64434769</v>
      </c>
      <c r="AQ39" s="71">
        <f>SUM(AN39,AJ39,AG39,AC39,X39,'P101'!$AO39)</f>
        <v>39.0128245</v>
      </c>
      <c r="AR39" s="72">
        <f>'P101'!$AP39+'P101'!$AQ39</f>
        <v>61.6571722</v>
      </c>
    </row>
    <row r="40" ht="14.25" customHeight="1">
      <c r="A40" s="48" t="s">
        <v>129</v>
      </c>
      <c r="B40" s="49">
        <v>2.02509444E8</v>
      </c>
      <c r="C40" s="49" t="s">
        <v>130</v>
      </c>
      <c r="D40" s="50">
        <v>10.0</v>
      </c>
      <c r="E40" s="49"/>
      <c r="F40" s="51">
        <v>1.0</v>
      </c>
      <c r="G40" s="51">
        <v>1.00524938</v>
      </c>
      <c r="H40" s="51">
        <v>1.019294383</v>
      </c>
      <c r="I40" s="52">
        <v>3.0</v>
      </c>
      <c r="J40" s="53">
        <v>2.0</v>
      </c>
      <c r="K40" s="54">
        <v>4.7</v>
      </c>
      <c r="L40" s="55">
        <f>SUM('P101'!$I40:$K40)</f>
        <v>9.7</v>
      </c>
      <c r="M40" s="52">
        <v>3.0</v>
      </c>
      <c r="N40" s="53">
        <v>2.0</v>
      </c>
      <c r="O40" s="54">
        <v>5.0</v>
      </c>
      <c r="P40" s="55">
        <f>SUM('P101'!$M40:$O40)</f>
        <v>10</v>
      </c>
      <c r="Q40" s="52">
        <v>2.25</v>
      </c>
      <c r="R40" s="53">
        <v>2.0</v>
      </c>
      <c r="S40" s="54">
        <v>4.45</v>
      </c>
      <c r="T40" s="55">
        <f>SUM('P101'!$Q40:$S40)</f>
        <v>8.7</v>
      </c>
      <c r="U40" s="56">
        <f>('P101'!$L40+'P101'!$P40+'P101'!$T40)*'P101'!$F40</f>
        <v>28.4</v>
      </c>
      <c r="V40" s="57">
        <v>4.05</v>
      </c>
      <c r="W40" s="57">
        <v>6.0</v>
      </c>
      <c r="X40" s="58">
        <f>SUM('P101'!$V40:$W40)*'P101'!$G40</f>
        <v>10.10275627</v>
      </c>
      <c r="Y40" s="59">
        <v>1.5</v>
      </c>
      <c r="Z40" s="59">
        <v>2.3</v>
      </c>
      <c r="AA40" s="59">
        <v>3.75</v>
      </c>
      <c r="AB40" s="60" t="str">
        <f>IF(SUM('P101'!$Y40:$AA40)&gt;5.9,"SI","NO")</f>
        <v>SI</v>
      </c>
      <c r="AC40" s="61">
        <f>SUM('P101'!$Y40:$AA40)</f>
        <v>7.55</v>
      </c>
      <c r="AD40" s="62">
        <v>1.5</v>
      </c>
      <c r="AE40" s="62">
        <v>5.0</v>
      </c>
      <c r="AF40" s="63" t="str">
        <f>IF('P101'!$AG40&gt;5.9,"SI","NO")</f>
        <v>SI</v>
      </c>
      <c r="AG40" s="64">
        <f>SUM('P101'!$AD40:$AE40)</f>
        <v>6.5</v>
      </c>
      <c r="AH40" s="65">
        <v>0.0</v>
      </c>
      <c r="AI40" s="65">
        <v>0.0</v>
      </c>
      <c r="AJ40" s="66">
        <f>AVERAGE('P101'!$AH40:$AI40)*'P101'!$H40</f>
        <v>0</v>
      </c>
      <c r="AK40" s="67">
        <v>0.0</v>
      </c>
      <c r="AL40" s="68">
        <v>0.0</v>
      </c>
      <c r="AM40" s="69">
        <v>0.0</v>
      </c>
      <c r="AN40" s="46">
        <f>(('P101'!$AL40+'P101'!$AM40))*'P101'!$AK40</f>
        <v>0</v>
      </c>
      <c r="AO40" s="70">
        <v>8.5</v>
      </c>
      <c r="AP40" s="71">
        <f>SUM('P101'!$U40)</f>
        <v>28.4</v>
      </c>
      <c r="AQ40" s="71">
        <f>SUM(AN40,AJ40,AG40,AC40,X40,'P101'!$AO40)</f>
        <v>32.65275627</v>
      </c>
      <c r="AR40" s="72">
        <f>'P101'!$AP40+'P101'!$AQ40</f>
        <v>61.05275627</v>
      </c>
    </row>
    <row r="41" ht="14.25" customHeight="1">
      <c r="A41" s="48" t="s">
        <v>131</v>
      </c>
      <c r="B41" s="49">
        <v>2.02509394E8</v>
      </c>
      <c r="C41" s="49" t="s">
        <v>132</v>
      </c>
      <c r="D41" s="50">
        <v>9.0</v>
      </c>
      <c r="E41" s="49"/>
      <c r="F41" s="51">
        <v>0.972906925</v>
      </c>
      <c r="G41" s="51">
        <v>0.973</v>
      </c>
      <c r="H41" s="51">
        <v>0.967403913</v>
      </c>
      <c r="I41" s="52">
        <v>2.25</v>
      </c>
      <c r="J41" s="53">
        <v>1.25</v>
      </c>
      <c r="K41" s="54">
        <v>4.15</v>
      </c>
      <c r="L41" s="55">
        <f>SUM('P101'!$I41:$K41)</f>
        <v>7.65</v>
      </c>
      <c r="M41" s="52">
        <v>3.0</v>
      </c>
      <c r="N41" s="53">
        <v>2.0</v>
      </c>
      <c r="O41" s="54">
        <v>5.0</v>
      </c>
      <c r="P41" s="55">
        <f>SUM('P101'!$M41:$O41)</f>
        <v>10</v>
      </c>
      <c r="Q41" s="52">
        <v>0.0</v>
      </c>
      <c r="R41" s="53">
        <v>1.5</v>
      </c>
      <c r="S41" s="54">
        <v>0.0</v>
      </c>
      <c r="T41" s="55">
        <f>SUM('P101'!$Q41:$S41)</f>
        <v>1.5</v>
      </c>
      <c r="U41" s="56">
        <f>('P101'!$L41+'P101'!$P41+'P101'!$T41)*'P101'!$F41</f>
        <v>18.63116761</v>
      </c>
      <c r="V41" s="57">
        <v>4.55</v>
      </c>
      <c r="W41" s="57">
        <v>3.1</v>
      </c>
      <c r="X41" s="58">
        <f>SUM('P101'!$V41:$W41)*'P101'!$G41</f>
        <v>7.44345</v>
      </c>
      <c r="Y41" s="59">
        <v>1.0</v>
      </c>
      <c r="Z41" s="59">
        <v>0.0</v>
      </c>
      <c r="AA41" s="59">
        <v>5.0</v>
      </c>
      <c r="AB41" s="60" t="str">
        <f>IF(SUM('P101'!$Y41:$AA41)&gt;5.9,"SI","NO")</f>
        <v>SI</v>
      </c>
      <c r="AC41" s="61">
        <f>SUM('P101'!$Y41:$AA41)</f>
        <v>6</v>
      </c>
      <c r="AD41" s="62">
        <v>1.0</v>
      </c>
      <c r="AE41" s="62">
        <v>5.0</v>
      </c>
      <c r="AF41" s="63" t="str">
        <f>IF('P101'!$AG41&gt;5.9,"SI","NO")</f>
        <v>SI</v>
      </c>
      <c r="AG41" s="64">
        <f>SUM('P101'!$AD41:$AE41)</f>
        <v>6</v>
      </c>
      <c r="AH41" s="65">
        <v>0.0</v>
      </c>
      <c r="AI41" s="65">
        <v>0.0</v>
      </c>
      <c r="AJ41" s="66">
        <f>AVERAGE('P101'!$AH41:$AI41)*'P101'!$H41</f>
        <v>0</v>
      </c>
      <c r="AK41" s="67">
        <v>0.0</v>
      </c>
      <c r="AL41" s="68">
        <v>0.0</v>
      </c>
      <c r="AM41" s="69">
        <v>0.0</v>
      </c>
      <c r="AN41" s="46">
        <f>(('P101'!$AL41+'P101'!$AM41))*'P101'!$AK41</f>
        <v>0</v>
      </c>
      <c r="AO41" s="70">
        <v>5.5</v>
      </c>
      <c r="AP41" s="71">
        <f>SUM('P101'!$U41)</f>
        <v>18.63116761</v>
      </c>
      <c r="AQ41" s="71">
        <f>SUM(AN41,AJ41,AG41,AC41,X41,'P101'!$AO41)</f>
        <v>24.94345</v>
      </c>
      <c r="AR41" s="72">
        <f>'P101'!$AP41+'P101'!$AQ41</f>
        <v>43.57461761</v>
      </c>
    </row>
    <row r="42" ht="14.25" customHeight="1">
      <c r="A42" s="48" t="s">
        <v>133</v>
      </c>
      <c r="B42" s="49">
        <v>2.02509667E8</v>
      </c>
      <c r="C42" s="49" t="s">
        <v>134</v>
      </c>
      <c r="D42" s="50">
        <v>10.0</v>
      </c>
      <c r="E42" s="49"/>
      <c r="F42" s="51">
        <v>1.0</v>
      </c>
      <c r="G42" s="51">
        <v>0.5</v>
      </c>
      <c r="H42" s="51">
        <v>0.911684612</v>
      </c>
      <c r="I42" s="52">
        <v>2.25</v>
      </c>
      <c r="J42" s="53">
        <v>2.0</v>
      </c>
      <c r="K42" s="54">
        <v>4.7</v>
      </c>
      <c r="L42" s="55">
        <f>SUM('P101'!$I42:$K42)</f>
        <v>8.95</v>
      </c>
      <c r="M42" s="52">
        <v>3.0</v>
      </c>
      <c r="N42" s="53">
        <v>2.0</v>
      </c>
      <c r="O42" s="54">
        <v>5.0</v>
      </c>
      <c r="P42" s="55">
        <f>SUM('P101'!$M42:$O42)</f>
        <v>10</v>
      </c>
      <c r="Q42" s="52">
        <v>0.0</v>
      </c>
      <c r="R42" s="53">
        <v>2.0</v>
      </c>
      <c r="S42" s="54">
        <v>0.0</v>
      </c>
      <c r="T42" s="55">
        <f>SUM('P101'!$Q42:$S42)</f>
        <v>2</v>
      </c>
      <c r="U42" s="56">
        <f>('P101'!$L42+'P101'!$P42+'P101'!$T42)*'P101'!$F42</f>
        <v>20.95</v>
      </c>
      <c r="V42" s="57">
        <v>4.05</v>
      </c>
      <c r="W42" s="57">
        <v>6.0</v>
      </c>
      <c r="X42" s="58">
        <f>SUM('P101'!$V42:$W42)*'P101'!$G42</f>
        <v>5.025</v>
      </c>
      <c r="Y42" s="59">
        <v>1.5</v>
      </c>
      <c r="Z42" s="59">
        <v>3.0</v>
      </c>
      <c r="AA42" s="59">
        <v>3.75</v>
      </c>
      <c r="AB42" s="60" t="str">
        <f>IF(SUM('P101'!$Y42:$AA42)&gt;5.9,"SI","NO")</f>
        <v>SI</v>
      </c>
      <c r="AC42" s="61">
        <f>SUM('P101'!$Y42:$AA42)</f>
        <v>8.25</v>
      </c>
      <c r="AD42" s="62">
        <v>1.5</v>
      </c>
      <c r="AE42" s="62">
        <v>5.0</v>
      </c>
      <c r="AF42" s="63" t="str">
        <f>IF('P101'!$AG42&gt;5.9,"SI","NO")</f>
        <v>SI</v>
      </c>
      <c r="AG42" s="64">
        <f>SUM('P101'!$AD42:$AE42)</f>
        <v>6.5</v>
      </c>
      <c r="AH42" s="65">
        <v>0.0</v>
      </c>
      <c r="AI42" s="65">
        <v>0.0</v>
      </c>
      <c r="AJ42" s="66">
        <f>AVERAGE('P101'!$AH42:$AI42)*'P101'!$H42</f>
        <v>0</v>
      </c>
      <c r="AK42" s="67">
        <v>0.0</v>
      </c>
      <c r="AL42" s="68">
        <v>0.0</v>
      </c>
      <c r="AM42" s="69">
        <v>0.0</v>
      </c>
      <c r="AN42" s="46">
        <f>(('P101'!$AL42+'P101'!$AM42))*'P101'!$AK42</f>
        <v>0</v>
      </c>
      <c r="AO42" s="70">
        <v>8.5</v>
      </c>
      <c r="AP42" s="71">
        <f>SUM('P101'!$U42)</f>
        <v>20.95</v>
      </c>
      <c r="AQ42" s="71">
        <f>SUM(AN42,AJ42,AG42,AC42,X42,'P101'!$AO42)</f>
        <v>28.275</v>
      </c>
      <c r="AR42" s="72">
        <f>'P101'!$AP42+'P101'!$AQ42</f>
        <v>49.225</v>
      </c>
    </row>
    <row r="43" ht="14.25" customHeight="1">
      <c r="A43" s="48" t="s">
        <v>135</v>
      </c>
      <c r="B43" s="49">
        <v>2.02504395E8</v>
      </c>
      <c r="C43" s="49" t="s">
        <v>136</v>
      </c>
      <c r="D43" s="50">
        <v>5.0</v>
      </c>
      <c r="E43" s="49"/>
      <c r="F43" s="51">
        <v>1.001001503</v>
      </c>
      <c r="G43" s="51">
        <v>1.0</v>
      </c>
      <c r="H43" s="51">
        <v>1.006734083</v>
      </c>
      <c r="I43" s="52">
        <v>2.25</v>
      </c>
      <c r="J43" s="53">
        <v>1.75</v>
      </c>
      <c r="K43" s="54">
        <v>4.1</v>
      </c>
      <c r="L43" s="55">
        <f>SUM('P101'!$I43:$K43)</f>
        <v>8.1</v>
      </c>
      <c r="M43" s="52">
        <v>3.0</v>
      </c>
      <c r="N43" s="53">
        <v>2.0</v>
      </c>
      <c r="O43" s="54">
        <v>5.0</v>
      </c>
      <c r="P43" s="55">
        <f>SUM('P101'!$M43:$O43)</f>
        <v>10</v>
      </c>
      <c r="Q43" s="52">
        <v>2.25</v>
      </c>
      <c r="R43" s="53">
        <v>1.75</v>
      </c>
      <c r="S43" s="54">
        <v>4.8</v>
      </c>
      <c r="T43" s="55">
        <f>SUM('P101'!$Q43:$S43)</f>
        <v>8.8</v>
      </c>
      <c r="U43" s="56">
        <f>('P101'!$L43+'P101'!$P43+'P101'!$T43)*'P101'!$F43</f>
        <v>26.92694043</v>
      </c>
      <c r="V43" s="57">
        <v>4.55</v>
      </c>
      <c r="W43" s="57">
        <v>6.4</v>
      </c>
      <c r="X43" s="58">
        <f>SUM('P101'!$V43:$W43)*'P101'!$G43</f>
        <v>10.95</v>
      </c>
      <c r="Y43" s="59">
        <v>1.0</v>
      </c>
      <c r="Z43" s="59">
        <v>1.5</v>
      </c>
      <c r="AA43" s="59">
        <v>1.25</v>
      </c>
      <c r="AB43" s="60" t="str">
        <f>IF(SUM('P101'!$Y43:$AA43)&gt;5.9,"SI","NO")</f>
        <v>NO</v>
      </c>
      <c r="AC43" s="61">
        <f>SUM('P101'!$Y43:$AA43)</f>
        <v>3.75</v>
      </c>
      <c r="AD43" s="62">
        <v>1.5</v>
      </c>
      <c r="AE43" s="62">
        <v>7.0</v>
      </c>
      <c r="AF43" s="63" t="str">
        <f>IF('P101'!$AG43&gt;5.9,"SI","NO")</f>
        <v>SI</v>
      </c>
      <c r="AG43" s="64">
        <f>SUM('P101'!$AD43:$AE43)</f>
        <v>8.5</v>
      </c>
      <c r="AH43" s="65">
        <v>3.0</v>
      </c>
      <c r="AI43" s="65">
        <v>4.5</v>
      </c>
      <c r="AJ43" s="66">
        <f>AVERAGE('P101'!$AH43:$AI43)*'P101'!$H43</f>
        <v>3.775252811</v>
      </c>
      <c r="AK43" s="67">
        <v>0.0</v>
      </c>
      <c r="AL43" s="68">
        <v>0.0</v>
      </c>
      <c r="AM43" s="69">
        <v>0.0</v>
      </c>
      <c r="AN43" s="46">
        <f>(('P101'!$AL43+'P101'!$AM43))*'P101'!$AK43</f>
        <v>0</v>
      </c>
      <c r="AO43" s="70">
        <v>10.0</v>
      </c>
      <c r="AP43" s="71">
        <f>SUM('P101'!$U43)</f>
        <v>26.92694043</v>
      </c>
      <c r="AQ43" s="71">
        <f>SUM(AN43,AJ43,AG43,AC43,X43,'P101'!$AO43)</f>
        <v>36.97525281</v>
      </c>
      <c r="AR43" s="79">
        <v>74.0</v>
      </c>
    </row>
    <row r="44" ht="14.25" customHeight="1">
      <c r="A44" s="48" t="s">
        <v>137</v>
      </c>
      <c r="B44" s="49">
        <v>2.0241447E8</v>
      </c>
      <c r="C44" s="49" t="s">
        <v>138</v>
      </c>
      <c r="D44" s="50">
        <v>7.0</v>
      </c>
      <c r="E44" s="49"/>
      <c r="F44" s="51">
        <v>1.0</v>
      </c>
      <c r="G44" s="51">
        <v>1.005037815</v>
      </c>
      <c r="H44" s="51">
        <v>1.020030601</v>
      </c>
      <c r="I44" s="52">
        <v>2.25</v>
      </c>
      <c r="J44" s="53">
        <v>0.75</v>
      </c>
      <c r="K44" s="54">
        <v>3.55</v>
      </c>
      <c r="L44" s="55">
        <f>SUM('P101'!$I44:$K44)</f>
        <v>6.55</v>
      </c>
      <c r="M44" s="52">
        <v>3.0</v>
      </c>
      <c r="N44" s="53">
        <v>2.0</v>
      </c>
      <c r="O44" s="54">
        <v>5.0</v>
      </c>
      <c r="P44" s="55">
        <f>SUM('P101'!$M44:$O44)</f>
        <v>10</v>
      </c>
      <c r="Q44" s="52">
        <v>2.25</v>
      </c>
      <c r="R44" s="53">
        <v>1.25</v>
      </c>
      <c r="S44" s="54">
        <v>3.85</v>
      </c>
      <c r="T44" s="55">
        <f>SUM('P101'!$Q44:$S44)</f>
        <v>7.35</v>
      </c>
      <c r="U44" s="56">
        <f>('P101'!$L44+'P101'!$P44+'P101'!$T44)*'P101'!$F44</f>
        <v>23.9</v>
      </c>
      <c r="V44" s="57">
        <v>4.2</v>
      </c>
      <c r="W44" s="57">
        <v>7.3</v>
      </c>
      <c r="X44" s="58">
        <f>SUM('P101'!$V44:$W44)*'P101'!$G44</f>
        <v>11.55793487</v>
      </c>
      <c r="Y44" s="59">
        <v>1.5</v>
      </c>
      <c r="Z44" s="59">
        <v>1.5</v>
      </c>
      <c r="AA44" s="59">
        <v>2.5</v>
      </c>
      <c r="AB44" s="60" t="str">
        <f>IF(SUM('P101'!$Y44:$AA44)&gt;5.9,"SI","NO")</f>
        <v>NO</v>
      </c>
      <c r="AC44" s="61">
        <f>SUM('P101'!$Y44:$AA44)</f>
        <v>5.5</v>
      </c>
      <c r="AD44" s="62">
        <v>1.5</v>
      </c>
      <c r="AE44" s="62">
        <v>0.0</v>
      </c>
      <c r="AF44" s="63" t="str">
        <f>IF('P101'!$AG44&gt;5.9,"SI","NO")</f>
        <v>NO</v>
      </c>
      <c r="AG44" s="64">
        <f>SUM('P101'!$AD44:$AE44)</f>
        <v>1.5</v>
      </c>
      <c r="AH44" s="65">
        <v>0.0</v>
      </c>
      <c r="AI44" s="65">
        <v>0.0</v>
      </c>
      <c r="AJ44" s="66">
        <f>AVERAGE('P101'!$AH44:$AI44)*'P101'!$H44</f>
        <v>0</v>
      </c>
      <c r="AK44" s="67">
        <v>0.0</v>
      </c>
      <c r="AL44" s="68">
        <v>0.0</v>
      </c>
      <c r="AM44" s="69">
        <v>0.0</v>
      </c>
      <c r="AN44" s="46">
        <f>(('P101'!$AL44+'P101'!$AM44))*'P101'!$AK44</f>
        <v>0</v>
      </c>
      <c r="AO44" s="70">
        <v>0.0</v>
      </c>
      <c r="AP44" s="71">
        <f>SUM('P101'!$U44)</f>
        <v>23.9</v>
      </c>
      <c r="AQ44" s="71">
        <f>SUM(AN44,AJ44,AG44,AC44,X44,'P101'!$AO44)</f>
        <v>18.55793487</v>
      </c>
      <c r="AR44" s="72">
        <f>'P101'!$AP44+'P101'!$AQ44</f>
        <v>42.45793487</v>
      </c>
    </row>
    <row r="45" ht="14.25" customHeight="1">
      <c r="A45" s="48" t="s">
        <v>139</v>
      </c>
      <c r="B45" s="49">
        <v>2.02509717E8</v>
      </c>
      <c r="C45" s="49" t="s">
        <v>140</v>
      </c>
      <c r="D45" s="50">
        <v>3.0</v>
      </c>
      <c r="E45" s="49"/>
      <c r="F45" s="51">
        <v>0.993610158</v>
      </c>
      <c r="G45" s="51">
        <v>0.5</v>
      </c>
      <c r="H45" s="51">
        <v>0.994778032</v>
      </c>
      <c r="I45" s="52">
        <v>0.75</v>
      </c>
      <c r="J45" s="53">
        <v>0.0</v>
      </c>
      <c r="K45" s="54">
        <v>0.0</v>
      </c>
      <c r="L45" s="55">
        <f>SUM('P101'!$I45:$K45)</f>
        <v>0.75</v>
      </c>
      <c r="M45" s="52">
        <v>3.0</v>
      </c>
      <c r="N45" s="53">
        <v>2.0</v>
      </c>
      <c r="O45" s="54">
        <v>5.0</v>
      </c>
      <c r="P45" s="55">
        <f>SUM('P101'!$M45:$O45)</f>
        <v>10</v>
      </c>
      <c r="Q45" s="52">
        <v>2.25</v>
      </c>
      <c r="R45" s="53">
        <v>2.0</v>
      </c>
      <c r="S45" s="54">
        <v>4.7</v>
      </c>
      <c r="T45" s="55">
        <f>SUM('P101'!$Q45:$S45)</f>
        <v>8.95</v>
      </c>
      <c r="U45" s="56">
        <f>('P101'!$L45+'P101'!$P45+'P101'!$T45)*'P101'!$F45</f>
        <v>19.57412011</v>
      </c>
      <c r="V45" s="57">
        <v>3.25</v>
      </c>
      <c r="W45" s="57">
        <v>5.2</v>
      </c>
      <c r="X45" s="58">
        <f>SUM('P101'!$V45:$W45)*'P101'!$G45</f>
        <v>4.225</v>
      </c>
      <c r="Y45" s="59">
        <v>2.0</v>
      </c>
      <c r="Z45" s="59">
        <v>3.0</v>
      </c>
      <c r="AA45" s="59">
        <v>3.75</v>
      </c>
      <c r="AB45" s="60" t="str">
        <f>IF(SUM('P101'!$Y45:$AA45)&gt;5.9,"SI","NO")</f>
        <v>SI</v>
      </c>
      <c r="AC45" s="61">
        <f>SUM('P101'!$Y45:$AA45)</f>
        <v>8.75</v>
      </c>
      <c r="AD45" s="62">
        <v>1.0</v>
      </c>
      <c r="AE45" s="62">
        <v>5.25</v>
      </c>
      <c r="AF45" s="63" t="str">
        <f>IF('P101'!$AG45&gt;5.9,"SI","NO")</f>
        <v>SI</v>
      </c>
      <c r="AG45" s="64">
        <f>SUM('P101'!$AD45:$AE45)</f>
        <v>6.25</v>
      </c>
      <c r="AH45" s="65">
        <v>4.5</v>
      </c>
      <c r="AI45" s="65">
        <v>5.0</v>
      </c>
      <c r="AJ45" s="66">
        <f>AVERAGE('P101'!$AH45:$AI45)*'P101'!$H45</f>
        <v>4.725195652</v>
      </c>
      <c r="AK45" s="67">
        <v>1.0</v>
      </c>
      <c r="AL45" s="68">
        <v>7.5</v>
      </c>
      <c r="AM45" s="69">
        <v>5.5</v>
      </c>
      <c r="AN45" s="46">
        <f>(('P101'!$AL45+'P101'!$AM45))*'P101'!$AK45</f>
        <v>13</v>
      </c>
      <c r="AO45" s="70">
        <v>7.5</v>
      </c>
      <c r="AP45" s="71">
        <f>SUM('P101'!$U45)</f>
        <v>19.57412011</v>
      </c>
      <c r="AQ45" s="71">
        <f>SUM(AN45,AJ45,AG45,AC45,X45,'P101'!$AO45)</f>
        <v>44.45019565</v>
      </c>
      <c r="AR45" s="72">
        <f>'P101'!$AP45+'P101'!$AQ45</f>
        <v>64.02431576</v>
      </c>
    </row>
    <row r="46" ht="14.25" customHeight="1">
      <c r="A46" s="48" t="s">
        <v>141</v>
      </c>
      <c r="B46" s="83">
        <v>2.02508966E8</v>
      </c>
      <c r="C46" s="49" t="s">
        <v>142</v>
      </c>
      <c r="D46" s="84">
        <v>5.0</v>
      </c>
      <c r="E46" s="83"/>
      <c r="F46" s="51">
        <v>0.99598392</v>
      </c>
      <c r="G46" s="51">
        <v>1.0</v>
      </c>
      <c r="H46" s="51">
        <v>1.006734083</v>
      </c>
      <c r="I46" s="52">
        <v>3.0</v>
      </c>
      <c r="J46" s="53">
        <v>1.75</v>
      </c>
      <c r="K46" s="54">
        <v>4.1</v>
      </c>
      <c r="L46" s="55">
        <f>SUM('P101'!$I46:$K46)</f>
        <v>8.85</v>
      </c>
      <c r="M46" s="52">
        <v>3.0</v>
      </c>
      <c r="N46" s="53">
        <v>2.0</v>
      </c>
      <c r="O46" s="54">
        <v>5.0</v>
      </c>
      <c r="P46" s="55">
        <f>SUM('P101'!$M46:$O46)</f>
        <v>10</v>
      </c>
      <c r="Q46" s="52">
        <v>2.63</v>
      </c>
      <c r="R46" s="53">
        <v>1.75</v>
      </c>
      <c r="S46" s="54">
        <v>4.8</v>
      </c>
      <c r="T46" s="55">
        <f>SUM('P101'!$Q46:$S46)</f>
        <v>9.18</v>
      </c>
      <c r="U46" s="56">
        <f>('P101'!$L46+'P101'!$P46+'P101'!$T46)*'P101'!$F46</f>
        <v>27.91742928</v>
      </c>
      <c r="V46" s="57">
        <v>4.55</v>
      </c>
      <c r="W46" s="57">
        <v>6.4</v>
      </c>
      <c r="X46" s="58">
        <f>SUM('P101'!$V46:$W46)*'P101'!$G46</f>
        <v>10.95</v>
      </c>
      <c r="Y46" s="59">
        <v>1.5</v>
      </c>
      <c r="Z46" s="59">
        <v>1.5</v>
      </c>
      <c r="AA46" s="59">
        <v>5.0</v>
      </c>
      <c r="AB46" s="60" t="str">
        <f>IF(SUM('P101'!$Y46:$AA46)&gt;5.9,"SI","NO")</f>
        <v>SI</v>
      </c>
      <c r="AC46" s="61">
        <f>SUM('P101'!$Y46:$AA46)</f>
        <v>8</v>
      </c>
      <c r="AD46" s="62">
        <v>1.5</v>
      </c>
      <c r="AE46" s="62">
        <v>7.0</v>
      </c>
      <c r="AF46" s="63" t="str">
        <f>IF('P101'!$AG46&gt;5.9,"SI","NO")</f>
        <v>SI</v>
      </c>
      <c r="AG46" s="64">
        <f>SUM('P101'!$AD46:$AE46)</f>
        <v>8.5</v>
      </c>
      <c r="AH46" s="65">
        <v>3.0</v>
      </c>
      <c r="AI46" s="65">
        <v>4.5</v>
      </c>
      <c r="AJ46" s="66">
        <f>AVERAGE('P101'!$AH46:$AI46)*'P101'!$H46</f>
        <v>3.775252811</v>
      </c>
      <c r="AK46" s="67">
        <v>1.0</v>
      </c>
      <c r="AL46" s="68">
        <v>4.0</v>
      </c>
      <c r="AM46" s="69">
        <v>9.0</v>
      </c>
      <c r="AN46" s="46">
        <f>(('P101'!$AL46+'P101'!$AM46))*'P101'!$AK46</f>
        <v>13</v>
      </c>
      <c r="AO46" s="70">
        <v>10.0</v>
      </c>
      <c r="AP46" s="71">
        <f>SUM('P101'!$U46)</f>
        <v>27.91742928</v>
      </c>
      <c r="AQ46" s="71">
        <f>SUM(AN46,AJ46,AG46,AC46,X46,'P101'!$AO46)</f>
        <v>54.22525281</v>
      </c>
      <c r="AR46" s="79">
        <v>92.0</v>
      </c>
    </row>
    <row r="47" ht="14.25" customHeight="1">
      <c r="A47" s="48" t="s">
        <v>143</v>
      </c>
      <c r="B47" s="83">
        <v>2.02506911E8</v>
      </c>
      <c r="C47" s="49" t="s">
        <v>144</v>
      </c>
      <c r="D47" s="84">
        <v>4.0</v>
      </c>
      <c r="E47" s="83"/>
      <c r="F47" s="51">
        <v>0.98663637</v>
      </c>
      <c r="G47" s="51">
        <v>0.636947215</v>
      </c>
      <c r="H47" s="51">
        <v>0.5</v>
      </c>
      <c r="I47" s="52">
        <v>2.25</v>
      </c>
      <c r="J47" s="53">
        <v>0.75</v>
      </c>
      <c r="K47" s="54">
        <v>4.9</v>
      </c>
      <c r="L47" s="55">
        <f>SUM('P101'!$I47:$K47)</f>
        <v>7.9</v>
      </c>
      <c r="M47" s="52">
        <v>0.0</v>
      </c>
      <c r="N47" s="53">
        <v>0.0</v>
      </c>
      <c r="O47" s="54">
        <v>0.0</v>
      </c>
      <c r="P47" s="55">
        <f>SUM('P101'!$M47:$O47)</f>
        <v>0</v>
      </c>
      <c r="Q47" s="52">
        <v>0.0</v>
      </c>
      <c r="R47" s="53">
        <v>2.0</v>
      </c>
      <c r="S47" s="54">
        <v>0.0</v>
      </c>
      <c r="T47" s="55">
        <f>SUM('P101'!$Q47:$S47)</f>
        <v>2</v>
      </c>
      <c r="U47" s="56">
        <f>('P101'!$L47+'P101'!$P47+'P101'!$T47)*'P101'!$F47</f>
        <v>9.767700063</v>
      </c>
      <c r="V47" s="57">
        <v>4.6</v>
      </c>
      <c r="W47" s="57">
        <v>8.3</v>
      </c>
      <c r="X47" s="58">
        <f>SUM('P101'!$V47:$W47)*'P101'!$G47</f>
        <v>8.216619074</v>
      </c>
      <c r="Y47" s="59">
        <v>1.5</v>
      </c>
      <c r="Z47" s="59">
        <v>0.25</v>
      </c>
      <c r="AA47" s="59">
        <v>4.25</v>
      </c>
      <c r="AB47" s="60" t="str">
        <f>IF(SUM('P101'!$Y47:$AA47)&gt;5.9,"SI","NO")</f>
        <v>SI</v>
      </c>
      <c r="AC47" s="61">
        <f>SUM('P101'!$Y47:$AA47)</f>
        <v>6</v>
      </c>
      <c r="AD47" s="62">
        <v>2.0</v>
      </c>
      <c r="AE47" s="62">
        <v>4.0</v>
      </c>
      <c r="AF47" s="63" t="str">
        <f>IF('P101'!$AG47&gt;5.9,"SI","NO")</f>
        <v>SI</v>
      </c>
      <c r="AG47" s="64">
        <f>SUM('P101'!$AD47:$AE47)</f>
        <v>6</v>
      </c>
      <c r="AH47" s="65">
        <v>4.5</v>
      </c>
      <c r="AI47" s="65">
        <v>4.5</v>
      </c>
      <c r="AJ47" s="66">
        <f>AVERAGE('P101'!$AH47:$AI47)*'P101'!$H47</f>
        <v>2.25</v>
      </c>
      <c r="AK47" s="67">
        <v>1.0</v>
      </c>
      <c r="AL47" s="68">
        <v>6.5</v>
      </c>
      <c r="AM47" s="69">
        <v>6.5</v>
      </c>
      <c r="AN47" s="46">
        <f>(('P101'!$AL47+'P101'!$AM47))*'P101'!$AK47</f>
        <v>13</v>
      </c>
      <c r="AO47" s="70">
        <v>10.0</v>
      </c>
      <c r="AP47" s="71">
        <f>SUM('P101'!$U47)</f>
        <v>9.767700063</v>
      </c>
      <c r="AQ47" s="71">
        <f>SUM(AN47,AJ47,AG47,AC47,X47,'P101'!$AO47)</f>
        <v>45.46661907</v>
      </c>
      <c r="AR47" s="72">
        <f>'P101'!$AP47+'P101'!$AQ47</f>
        <v>55.23431914</v>
      </c>
    </row>
    <row r="48" ht="14.25" customHeight="1">
      <c r="A48" s="48" t="s">
        <v>145</v>
      </c>
      <c r="B48" s="83">
        <v>2.02508941E8</v>
      </c>
      <c r="C48" s="49" t="s">
        <v>146</v>
      </c>
      <c r="D48" s="84">
        <v>2.0</v>
      </c>
      <c r="E48" s="83"/>
      <c r="F48" s="51">
        <v>1.0</v>
      </c>
      <c r="G48" s="51">
        <v>1.0</v>
      </c>
      <c r="H48" s="51">
        <v>0.996627309</v>
      </c>
      <c r="I48" s="75">
        <v>1.5</v>
      </c>
      <c r="J48" s="76">
        <v>0.0</v>
      </c>
      <c r="K48" s="54">
        <v>0.0</v>
      </c>
      <c r="L48" s="55">
        <f>SUM('P101'!$I48:$K48)</f>
        <v>1.5</v>
      </c>
      <c r="M48" s="52">
        <v>3.0</v>
      </c>
      <c r="N48" s="53">
        <v>2.0</v>
      </c>
      <c r="O48" s="54">
        <v>5.0</v>
      </c>
      <c r="P48" s="55">
        <f>SUM('P101'!$M48:$O48)</f>
        <v>10</v>
      </c>
      <c r="Q48" s="52">
        <v>2.25</v>
      </c>
      <c r="R48" s="53">
        <v>1.75</v>
      </c>
      <c r="S48" s="54">
        <v>4.45</v>
      </c>
      <c r="T48" s="55">
        <f>SUM('P101'!$Q48:$S48)</f>
        <v>8.45</v>
      </c>
      <c r="U48" s="56">
        <f>('P101'!$L48+'P101'!$P48+'P101'!$T48)*'P101'!$F48</f>
        <v>19.95</v>
      </c>
      <c r="V48" s="57">
        <v>5.0</v>
      </c>
      <c r="W48" s="57">
        <v>6.8</v>
      </c>
      <c r="X48" s="58">
        <f>SUM('P101'!$V48:$W48)*'P101'!$G48</f>
        <v>11.8</v>
      </c>
      <c r="Y48" s="59">
        <v>1.5</v>
      </c>
      <c r="Z48" s="59">
        <v>0.0</v>
      </c>
      <c r="AA48" s="59">
        <v>0.0</v>
      </c>
      <c r="AB48" s="60" t="str">
        <f>IF(SUM('P101'!$Y48:$AA48)&gt;5.9,"SI","NO")</f>
        <v>NO</v>
      </c>
      <c r="AC48" s="61">
        <f>SUM('P101'!$Y48:$AA48)</f>
        <v>1.5</v>
      </c>
      <c r="AD48" s="62">
        <v>2.0</v>
      </c>
      <c r="AE48" s="62">
        <v>4.25</v>
      </c>
      <c r="AF48" s="63" t="str">
        <f>IF('P101'!$AG48&gt;5.9,"SI","NO")</f>
        <v>SI</v>
      </c>
      <c r="AG48" s="64">
        <f>SUM('P101'!$AD48:$AE48)</f>
        <v>6.25</v>
      </c>
      <c r="AH48" s="65">
        <v>5.0</v>
      </c>
      <c r="AI48" s="65">
        <v>3.5</v>
      </c>
      <c r="AJ48" s="66">
        <f>AVERAGE('P101'!$AH48:$AI48)*'P101'!$H48</f>
        <v>4.235666063</v>
      </c>
      <c r="AK48" s="67">
        <v>0.0</v>
      </c>
      <c r="AL48" s="68">
        <v>0.0</v>
      </c>
      <c r="AM48" s="69">
        <v>0.0</v>
      </c>
      <c r="AN48" s="46">
        <f>(('P101'!$AL48+'P101'!$AM48))*'P101'!$AK48</f>
        <v>0</v>
      </c>
      <c r="AO48" s="70">
        <v>8.0</v>
      </c>
      <c r="AP48" s="71">
        <f>SUM('P101'!$U48)</f>
        <v>19.95</v>
      </c>
      <c r="AQ48" s="71">
        <f>SUM(AN48,AJ48,AG48,AC48,X48,'P101'!$AO48)</f>
        <v>31.78566606</v>
      </c>
      <c r="AR48" s="72">
        <f>'P101'!$AP48+'P101'!$AQ48</f>
        <v>51.73566606</v>
      </c>
    </row>
    <row r="49" ht="14.25" customHeight="1">
      <c r="A49" s="48" t="s">
        <v>147</v>
      </c>
      <c r="B49" s="83">
        <v>2.02403036E8</v>
      </c>
      <c r="C49" s="49" t="s">
        <v>148</v>
      </c>
      <c r="D49" s="84">
        <v>8.0</v>
      </c>
      <c r="E49" s="83"/>
      <c r="F49" s="51">
        <v>1.024855223</v>
      </c>
      <c r="G49" s="51">
        <v>1.016382326</v>
      </c>
      <c r="H49" s="51">
        <v>0.994778032</v>
      </c>
      <c r="I49" s="52">
        <v>2.25</v>
      </c>
      <c r="J49" s="53">
        <v>1.25</v>
      </c>
      <c r="K49" s="54">
        <v>2.1</v>
      </c>
      <c r="L49" s="55">
        <f>SUM('P101'!$I49:$K49)</f>
        <v>5.6</v>
      </c>
      <c r="M49" s="52">
        <v>3.0</v>
      </c>
      <c r="N49" s="53">
        <v>2.0</v>
      </c>
      <c r="O49" s="54">
        <v>5.0</v>
      </c>
      <c r="P49" s="55">
        <f>SUM('P101'!$M49:$O49)</f>
        <v>10</v>
      </c>
      <c r="Q49" s="52">
        <v>1.5</v>
      </c>
      <c r="R49" s="53">
        <v>2.0</v>
      </c>
      <c r="S49" s="54">
        <v>0.0</v>
      </c>
      <c r="T49" s="55">
        <f>SUM('P101'!$Q49:$S49)</f>
        <v>3.5</v>
      </c>
      <c r="U49" s="56">
        <f>('P101'!$L49+'P101'!$P49+'P101'!$T49)*'P101'!$F49</f>
        <v>19.57473476</v>
      </c>
      <c r="V49" s="57">
        <v>4.4</v>
      </c>
      <c r="W49" s="57">
        <v>7.3</v>
      </c>
      <c r="X49" s="58">
        <f>SUM('P101'!$V49:$W49)*'P101'!$G49</f>
        <v>11.89167321</v>
      </c>
      <c r="Y49" s="59">
        <v>1.5</v>
      </c>
      <c r="Z49" s="77">
        <v>0.0</v>
      </c>
      <c r="AA49" s="59">
        <v>4.5</v>
      </c>
      <c r="AB49" s="60" t="str">
        <f>IF(SUM('P101'!$Y49:$AA49)&gt;5.9,"SI","NO")</f>
        <v>SI</v>
      </c>
      <c r="AC49" s="61">
        <f>SUM('P101'!$Y49:$AA49)</f>
        <v>6</v>
      </c>
      <c r="AD49" s="62">
        <v>2.0</v>
      </c>
      <c r="AE49" s="62">
        <v>4.0</v>
      </c>
      <c r="AF49" s="63" t="str">
        <f>IF('P101'!$AG49&gt;5.9,"SI","NO")</f>
        <v>SI</v>
      </c>
      <c r="AG49" s="64">
        <f>SUM('P101'!$AD49:$AE49)</f>
        <v>6</v>
      </c>
      <c r="AH49" s="65">
        <v>4.0</v>
      </c>
      <c r="AI49" s="65">
        <v>5.0</v>
      </c>
      <c r="AJ49" s="66">
        <f>AVERAGE('P101'!$AH49:$AI49)*'P101'!$H49</f>
        <v>4.476501144</v>
      </c>
      <c r="AK49" s="67">
        <v>1.0</v>
      </c>
      <c r="AL49" s="68">
        <v>6.5</v>
      </c>
      <c r="AM49" s="69">
        <v>6.0</v>
      </c>
      <c r="AN49" s="46">
        <f>(('P101'!$AL49+'P101'!$AM49))*'P101'!$AK49</f>
        <v>12.5</v>
      </c>
      <c r="AO49" s="70">
        <v>9.5</v>
      </c>
      <c r="AP49" s="71">
        <f>SUM('P101'!$U49)</f>
        <v>19.57473476</v>
      </c>
      <c r="AQ49" s="71">
        <f>SUM(AN49,AJ49,AG49,AC49,X49,'P101'!$AO49)</f>
        <v>50.36817436</v>
      </c>
      <c r="AR49" s="72">
        <f>'P101'!$AP49+'P101'!$AQ49</f>
        <v>69.94290912</v>
      </c>
    </row>
    <row r="50" ht="14.25" customHeight="1">
      <c r="A50" s="48" t="s">
        <v>149</v>
      </c>
      <c r="B50" s="83">
        <v>2.0250451E8</v>
      </c>
      <c r="C50" s="49" t="s">
        <v>150</v>
      </c>
      <c r="D50" s="84">
        <v>6.0</v>
      </c>
      <c r="E50" s="83"/>
      <c r="F50" s="51">
        <v>1.0</v>
      </c>
      <c r="G50" s="51">
        <v>1.0</v>
      </c>
      <c r="H50" s="51">
        <v>1.018853416</v>
      </c>
      <c r="I50" s="52">
        <v>2.25</v>
      </c>
      <c r="J50" s="53">
        <v>1.25</v>
      </c>
      <c r="K50" s="54">
        <v>3.95</v>
      </c>
      <c r="L50" s="55">
        <f>SUM('P101'!$I50:$K50)</f>
        <v>7.45</v>
      </c>
      <c r="M50" s="52">
        <v>3.0</v>
      </c>
      <c r="N50" s="53">
        <v>2.0</v>
      </c>
      <c r="O50" s="54">
        <v>5.0</v>
      </c>
      <c r="P50" s="55">
        <f>SUM('P101'!$M50:$O50)</f>
        <v>10</v>
      </c>
      <c r="Q50" s="52">
        <v>1.8</v>
      </c>
      <c r="R50" s="53">
        <v>1.75</v>
      </c>
      <c r="S50" s="54">
        <v>3.95</v>
      </c>
      <c r="T50" s="55">
        <f>SUM('P101'!$Q50:$S50)</f>
        <v>7.5</v>
      </c>
      <c r="U50" s="56">
        <f>('P101'!$L50+'P101'!$P50+'P101'!$T50)*'P101'!$F50</f>
        <v>24.95</v>
      </c>
      <c r="V50" s="57">
        <v>4.9</v>
      </c>
      <c r="W50" s="57">
        <v>8.6</v>
      </c>
      <c r="X50" s="58">
        <f>SUM('P101'!$V50:$W50)*'P101'!$G50</f>
        <v>13.5</v>
      </c>
      <c r="Y50" s="59">
        <v>1.5</v>
      </c>
      <c r="Z50" s="77">
        <v>0.0</v>
      </c>
      <c r="AA50" s="59">
        <v>5.0</v>
      </c>
      <c r="AB50" s="60" t="str">
        <f>IF(SUM('P101'!$Y50:$AA50)&gt;5.9,"SI","NO")</f>
        <v>SI</v>
      </c>
      <c r="AC50" s="61">
        <f>SUM('P101'!$Y50:$AA50)</f>
        <v>6.5</v>
      </c>
      <c r="AD50" s="62">
        <v>1.75</v>
      </c>
      <c r="AE50" s="62">
        <v>6.0</v>
      </c>
      <c r="AF50" s="63" t="str">
        <f>IF('P101'!$AG50&gt;5.9,"SI","NO")</f>
        <v>SI</v>
      </c>
      <c r="AG50" s="64">
        <f>SUM('P101'!$AD50:$AE50)</f>
        <v>7.75</v>
      </c>
      <c r="AH50" s="65">
        <v>5.0</v>
      </c>
      <c r="AI50" s="65">
        <v>4.5</v>
      </c>
      <c r="AJ50" s="66">
        <f>AVERAGE('P101'!$AH50:$AI50)*'P101'!$H50</f>
        <v>4.839553726</v>
      </c>
      <c r="AK50" s="67">
        <v>1.0</v>
      </c>
      <c r="AL50" s="68">
        <v>4.0</v>
      </c>
      <c r="AM50" s="69">
        <v>7.0</v>
      </c>
      <c r="AN50" s="46">
        <f>(('P101'!$AL50+'P101'!$AM50))*'P101'!$AK50</f>
        <v>11</v>
      </c>
      <c r="AO50" s="70">
        <v>10.0</v>
      </c>
      <c r="AP50" s="71">
        <f>SUM('P101'!$U50)</f>
        <v>24.95</v>
      </c>
      <c r="AQ50" s="71">
        <f>SUM(AN50,AJ50,AG50,AC50,X50,'P101'!$AO50)</f>
        <v>53.58955373</v>
      </c>
      <c r="AR50" s="72">
        <f>'P101'!$AP50+'P101'!$AQ50</f>
        <v>78.53955373</v>
      </c>
    </row>
    <row r="51" ht="14.25" customHeight="1">
      <c r="A51" s="48" t="s">
        <v>151</v>
      </c>
      <c r="B51" s="83">
        <v>2.02413449E8</v>
      </c>
      <c r="C51" s="49" t="s">
        <v>152</v>
      </c>
      <c r="D51" s="84">
        <v>5.0</v>
      </c>
      <c r="E51" s="83"/>
      <c r="F51" s="51">
        <v>1.001001503</v>
      </c>
      <c r="G51" s="51">
        <v>1.0</v>
      </c>
      <c r="H51" s="51">
        <v>1.002530582</v>
      </c>
      <c r="I51" s="52">
        <v>3.0</v>
      </c>
      <c r="J51" s="53">
        <v>1.75</v>
      </c>
      <c r="K51" s="54">
        <v>4.1</v>
      </c>
      <c r="L51" s="55">
        <f>SUM('P101'!$I51:$K51)</f>
        <v>8.85</v>
      </c>
      <c r="M51" s="52">
        <v>3.0</v>
      </c>
      <c r="N51" s="53">
        <v>2.0</v>
      </c>
      <c r="O51" s="54">
        <v>5.0</v>
      </c>
      <c r="P51" s="55">
        <f>SUM('P101'!$M51:$O51)</f>
        <v>10</v>
      </c>
      <c r="Q51" s="52">
        <v>1.5</v>
      </c>
      <c r="R51" s="53">
        <v>1.75</v>
      </c>
      <c r="S51" s="54">
        <v>0.0</v>
      </c>
      <c r="T51" s="55">
        <f>SUM('P101'!$Q51:$S51)</f>
        <v>3.25</v>
      </c>
      <c r="U51" s="56">
        <f>('P101'!$L51+'P101'!$P51+'P101'!$T51)*'P101'!$F51</f>
        <v>22.12213322</v>
      </c>
      <c r="V51" s="57">
        <v>4.55</v>
      </c>
      <c r="W51" s="57">
        <v>6.4</v>
      </c>
      <c r="X51" s="58">
        <f>SUM('P101'!$V51:$W51)*'P101'!$G51</f>
        <v>10.95</v>
      </c>
      <c r="Y51" s="59">
        <v>1.5</v>
      </c>
      <c r="Z51" s="59">
        <v>1.5</v>
      </c>
      <c r="AA51" s="59">
        <v>4.0</v>
      </c>
      <c r="AB51" s="60" t="str">
        <f>IF(SUM('P101'!$Y51:$AA51)&gt;5.9,"SI","NO")</f>
        <v>SI</v>
      </c>
      <c r="AC51" s="61">
        <f>SUM('P101'!$Y51:$AA51)</f>
        <v>7</v>
      </c>
      <c r="AD51" s="62">
        <v>1.5</v>
      </c>
      <c r="AE51" s="62">
        <v>7.0</v>
      </c>
      <c r="AF51" s="63" t="str">
        <f>IF('P101'!$AG51&gt;5.9,"SI","NO")</f>
        <v>SI</v>
      </c>
      <c r="AG51" s="64">
        <f>SUM('P101'!$AD51:$AE51)</f>
        <v>8.5</v>
      </c>
      <c r="AH51" s="65">
        <v>3.0</v>
      </c>
      <c r="AI51" s="65">
        <v>4.5</v>
      </c>
      <c r="AJ51" s="66">
        <f>AVERAGE('P101'!$AH51:$AI51)*'P101'!$H51</f>
        <v>3.759489683</v>
      </c>
      <c r="AK51" s="67">
        <v>1.0</v>
      </c>
      <c r="AL51" s="68">
        <v>4.0</v>
      </c>
      <c r="AM51" s="69">
        <v>8.5</v>
      </c>
      <c r="AN51" s="46">
        <f>(('P101'!$AL51+'P101'!$AM51))*'P101'!$AK51</f>
        <v>12.5</v>
      </c>
      <c r="AO51" s="70">
        <v>10.0</v>
      </c>
      <c r="AP51" s="71">
        <f>SUM('P101'!$U51)</f>
        <v>22.12213322</v>
      </c>
      <c r="AQ51" s="71">
        <f>SUM(AN51,AJ51,AG51,AC51,X51,'P101'!$AO51)</f>
        <v>52.70948968</v>
      </c>
      <c r="AR51" s="79">
        <v>85.0</v>
      </c>
    </row>
    <row r="52" ht="14.25" customHeight="1">
      <c r="A52" s="48" t="s">
        <v>153</v>
      </c>
      <c r="B52" s="83">
        <v>2.02316089E8</v>
      </c>
      <c r="C52" s="49" t="s">
        <v>154</v>
      </c>
      <c r="D52" s="84">
        <v>6.0</v>
      </c>
      <c r="E52" s="83"/>
      <c r="F52" s="51">
        <v>1.0</v>
      </c>
      <c r="G52" s="51">
        <v>1.0</v>
      </c>
      <c r="H52" s="51">
        <v>1.018853416</v>
      </c>
      <c r="I52" s="52">
        <v>2.25</v>
      </c>
      <c r="J52" s="53">
        <v>1.25</v>
      </c>
      <c r="K52" s="54">
        <v>3.95</v>
      </c>
      <c r="L52" s="55">
        <f>SUM('P101'!$I52:$K52)</f>
        <v>7.45</v>
      </c>
      <c r="M52" s="52">
        <v>3.0</v>
      </c>
      <c r="N52" s="53">
        <v>2.0</v>
      </c>
      <c r="O52" s="54">
        <v>5.0</v>
      </c>
      <c r="P52" s="55">
        <f>SUM('P101'!$M52:$O52)</f>
        <v>10</v>
      </c>
      <c r="Q52" s="52">
        <v>1.8</v>
      </c>
      <c r="R52" s="53">
        <v>1.75</v>
      </c>
      <c r="S52" s="54">
        <v>3.95</v>
      </c>
      <c r="T52" s="55">
        <f>SUM('P101'!$Q52:$S52)</f>
        <v>7.5</v>
      </c>
      <c r="U52" s="56">
        <f>('P101'!$L52+'P101'!$P52+'P101'!$T52)*'P101'!$F52</f>
        <v>24.95</v>
      </c>
      <c r="V52" s="57">
        <v>4.9</v>
      </c>
      <c r="W52" s="57">
        <v>8.6</v>
      </c>
      <c r="X52" s="58">
        <f>SUM('P101'!$V52:$W52)*'P101'!$G52</f>
        <v>13.5</v>
      </c>
      <c r="Y52" s="59">
        <v>1.5</v>
      </c>
      <c r="Z52" s="59">
        <v>1.5</v>
      </c>
      <c r="AA52" s="59">
        <v>3.75</v>
      </c>
      <c r="AB52" s="60" t="str">
        <f>IF(SUM('P101'!$Y52:$AA52)&gt;5.9,"SI","NO")</f>
        <v>SI</v>
      </c>
      <c r="AC52" s="61">
        <f>SUM('P101'!$Y52:$AA52)</f>
        <v>6.75</v>
      </c>
      <c r="AD52" s="62">
        <v>1.75</v>
      </c>
      <c r="AE52" s="62">
        <v>6.0</v>
      </c>
      <c r="AF52" s="63" t="str">
        <f>IF('P101'!$AG52&gt;5.9,"SI","NO")</f>
        <v>SI</v>
      </c>
      <c r="AG52" s="64">
        <f>SUM('P101'!$AD52:$AE52)</f>
        <v>7.75</v>
      </c>
      <c r="AH52" s="65">
        <v>5.0</v>
      </c>
      <c r="AI52" s="65">
        <v>4.5</v>
      </c>
      <c r="AJ52" s="66">
        <f>AVERAGE('P101'!$AH52:$AI52)*'P101'!$H52</f>
        <v>4.839553726</v>
      </c>
      <c r="AK52" s="67">
        <v>1.0</v>
      </c>
      <c r="AL52" s="68">
        <v>8.0</v>
      </c>
      <c r="AM52" s="69">
        <v>8.0</v>
      </c>
      <c r="AN52" s="46">
        <f>(('P101'!$AL52+'P101'!$AM52))*'P101'!$AK52</f>
        <v>16</v>
      </c>
      <c r="AO52" s="70">
        <v>10.0</v>
      </c>
      <c r="AP52" s="71">
        <f>SUM('P101'!$U52)</f>
        <v>24.95</v>
      </c>
      <c r="AQ52" s="71">
        <f>SUM(AN52,AJ52,AG52,AC52,X52,'P101'!$AO52)</f>
        <v>58.83955373</v>
      </c>
      <c r="AR52" s="72">
        <f>'P101'!$AP52+'P101'!$AQ52</f>
        <v>83.78955373</v>
      </c>
    </row>
    <row r="53" ht="14.25" customHeight="1">
      <c r="A53" s="48" t="s">
        <v>155</v>
      </c>
      <c r="B53" s="83">
        <v>2.02501284E8</v>
      </c>
      <c r="C53" s="49" t="s">
        <v>156</v>
      </c>
      <c r="D53" s="84">
        <v>1.0</v>
      </c>
      <c r="E53" s="83"/>
      <c r="F53" s="51">
        <v>1.140563438</v>
      </c>
      <c r="G53" s="51">
        <v>1.069044968</v>
      </c>
      <c r="H53" s="51">
        <v>0.5</v>
      </c>
      <c r="I53" s="52">
        <v>3.0</v>
      </c>
      <c r="J53" s="53">
        <v>1.25</v>
      </c>
      <c r="K53" s="54">
        <v>5.0</v>
      </c>
      <c r="L53" s="55">
        <f>SUM('P101'!$I53:$K53)</f>
        <v>9.25</v>
      </c>
      <c r="M53" s="85">
        <v>3.0</v>
      </c>
      <c r="N53" s="86">
        <v>2.0</v>
      </c>
      <c r="O53" s="73">
        <v>5.0</v>
      </c>
      <c r="P53" s="87">
        <f>SUM('P101'!$M53:$O53)</f>
        <v>10</v>
      </c>
      <c r="Q53" s="85">
        <v>0.25</v>
      </c>
      <c r="R53" s="53">
        <v>1.75</v>
      </c>
      <c r="S53" s="73">
        <v>0.0</v>
      </c>
      <c r="T53" s="87">
        <f>SUM('P101'!$Q53:$S53)</f>
        <v>2</v>
      </c>
      <c r="U53" s="88">
        <f>('P101'!$L53+'P101'!$P53+'P101'!$T53)*'P101'!$F53</f>
        <v>24.23697306</v>
      </c>
      <c r="V53" s="89">
        <v>4.65</v>
      </c>
      <c r="W53" s="89">
        <v>6.8</v>
      </c>
      <c r="X53" s="90">
        <f>SUM('P101'!$V53:$W53)*'P101'!$G53</f>
        <v>12.24056488</v>
      </c>
      <c r="Y53" s="91">
        <v>1.0</v>
      </c>
      <c r="Z53" s="91">
        <v>1.5</v>
      </c>
      <c r="AA53" s="91">
        <v>5.0</v>
      </c>
      <c r="AB53" s="92" t="str">
        <f>IF(SUM('P101'!$Y53:$AA53)&gt;5.9,"SI","NO")</f>
        <v>SI</v>
      </c>
      <c r="AC53" s="93">
        <f>SUM('P101'!$Y53:$AA53)</f>
        <v>7.5</v>
      </c>
      <c r="AD53" s="62">
        <v>1.5</v>
      </c>
      <c r="AE53" s="62">
        <v>5.5</v>
      </c>
      <c r="AF53" s="94" t="str">
        <f>IF('P101'!$AG53&gt;5.9,"SI","NO")</f>
        <v>SI</v>
      </c>
      <c r="AG53" s="95">
        <f>SUM('P101'!$AD53:$AE53)</f>
        <v>7</v>
      </c>
      <c r="AH53" s="65">
        <v>4.0</v>
      </c>
      <c r="AI53" s="65">
        <v>5.0</v>
      </c>
      <c r="AJ53" s="96">
        <f>AVERAGE('P101'!$AH53:$AI53)*'P101'!$H53</f>
        <v>2.25</v>
      </c>
      <c r="AK53" s="97">
        <v>1.0</v>
      </c>
      <c r="AL53" s="98">
        <v>4.0</v>
      </c>
      <c r="AM53" s="99">
        <v>6.0</v>
      </c>
      <c r="AN53" s="46">
        <f>(('P101'!$AL53+'P101'!$AM53))*'P101'!$AK53</f>
        <v>10</v>
      </c>
      <c r="AO53" s="70">
        <v>9.75</v>
      </c>
      <c r="AP53" s="100">
        <f>SUM('P101'!$U53)</f>
        <v>24.23697306</v>
      </c>
      <c r="AQ53" s="100">
        <f>SUM(AN53,AJ53,AG53,AC53,X53,'P101'!$AO53)</f>
        <v>48.74056488</v>
      </c>
      <c r="AR53" s="101">
        <f>'P101'!$AP53+'P101'!$AQ53</f>
        <v>72.97753794</v>
      </c>
    </row>
    <row r="54" ht="14.25" customHeight="1">
      <c r="A54" s="48" t="s">
        <v>157</v>
      </c>
      <c r="B54" s="49">
        <v>2.02410544E8</v>
      </c>
      <c r="C54" s="49" t="s">
        <v>158</v>
      </c>
      <c r="D54" s="50">
        <v>6.0</v>
      </c>
      <c r="E54" s="49"/>
      <c r="F54" s="51">
        <v>1.0</v>
      </c>
      <c r="G54" s="51">
        <v>1.0</v>
      </c>
      <c r="H54" s="51">
        <v>1.018853416</v>
      </c>
      <c r="I54" s="102">
        <v>3.0</v>
      </c>
      <c r="J54" s="53">
        <v>1.25</v>
      </c>
      <c r="K54" s="54">
        <v>3.95</v>
      </c>
      <c r="L54" s="55">
        <f>SUM('P101'!$I54:$K54)</f>
        <v>8.2</v>
      </c>
      <c r="M54" s="52">
        <v>3.0</v>
      </c>
      <c r="N54" s="53">
        <v>2.0</v>
      </c>
      <c r="O54" s="54">
        <v>5.0</v>
      </c>
      <c r="P54" s="87">
        <f>SUM('P101'!$M54:$O54)</f>
        <v>10</v>
      </c>
      <c r="Q54" s="103">
        <v>2.25</v>
      </c>
      <c r="R54" s="53">
        <v>1.75</v>
      </c>
      <c r="S54" s="54">
        <v>3.95</v>
      </c>
      <c r="T54" s="87">
        <f>SUM('P101'!$Q54:$S54)</f>
        <v>7.95</v>
      </c>
      <c r="U54" s="88">
        <f>('P101'!$L54+'P101'!$P54+'P101'!$T54)*'P101'!$F54</f>
        <v>26.15</v>
      </c>
      <c r="V54" s="57">
        <v>4.9</v>
      </c>
      <c r="W54" s="57">
        <v>8.6</v>
      </c>
      <c r="X54" s="90">
        <f>SUM('P101'!$V54:$W54)*'P101'!$G54</f>
        <v>13.5</v>
      </c>
      <c r="Y54" s="102">
        <v>2.0</v>
      </c>
      <c r="Z54" s="102">
        <v>3.0</v>
      </c>
      <c r="AA54" s="102">
        <v>3.75</v>
      </c>
      <c r="AB54" s="92" t="str">
        <f>IF(SUM('P101'!$Y54:$AA54)&gt;5.9,"SI","NO")</f>
        <v>SI</v>
      </c>
      <c r="AC54" s="93">
        <f>SUM('P101'!$Y54:$AA54)</f>
        <v>8.75</v>
      </c>
      <c r="AD54" s="62">
        <v>1.75</v>
      </c>
      <c r="AE54" s="104">
        <v>6.0</v>
      </c>
      <c r="AF54" s="94" t="str">
        <f>IF('P101'!$AG54&gt;5.9,"SI","NO")</f>
        <v>SI</v>
      </c>
      <c r="AG54" s="95">
        <f>SUM('P101'!$AD54:$AE54)</f>
        <v>7.75</v>
      </c>
      <c r="AH54" s="65">
        <v>5.0</v>
      </c>
      <c r="AI54" s="65">
        <v>4.5</v>
      </c>
      <c r="AJ54" s="96">
        <f>AVERAGE('P101'!$AH54:$AI54)*'P101'!$H54</f>
        <v>4.839553726</v>
      </c>
      <c r="AK54" s="105">
        <v>1.0</v>
      </c>
      <c r="AL54" s="105">
        <v>5.0</v>
      </c>
      <c r="AM54" s="105">
        <v>7.0</v>
      </c>
      <c r="AN54" s="46">
        <f>(('P101'!$AL54+'P101'!$AM54))*'P101'!$AK54</f>
        <v>12</v>
      </c>
      <c r="AO54" s="70">
        <v>10.0</v>
      </c>
      <c r="AP54" s="100">
        <f>SUM('P101'!$U54)</f>
        <v>26.15</v>
      </c>
      <c r="AQ54" s="100">
        <f>SUM(AN54,AJ54,AG54,AC54,X54,'P101'!$AO54)</f>
        <v>56.83955373</v>
      </c>
      <c r="AR54" s="101">
        <f>'P101'!$AP54+'P101'!$AQ54</f>
        <v>82.98955373</v>
      </c>
    </row>
    <row r="55" ht="14.25" customHeight="1">
      <c r="A55" s="106"/>
      <c r="B55" s="106"/>
      <c r="C55" s="106"/>
      <c r="D55" s="107"/>
      <c r="E55" s="106"/>
      <c r="F55" s="106"/>
      <c r="G55" s="106"/>
      <c r="H55" s="106"/>
      <c r="I55" s="108"/>
      <c r="J55" s="109"/>
      <c r="K55" s="106"/>
      <c r="L55" s="110"/>
      <c r="M55" s="106"/>
      <c r="N55" s="106"/>
      <c r="O55" s="106"/>
      <c r="P55" s="110"/>
      <c r="Q55" s="108"/>
      <c r="R55" s="109"/>
      <c r="T55" s="110"/>
      <c r="U55" s="111"/>
      <c r="V55" s="112"/>
      <c r="W55" s="113" t="s">
        <v>159</v>
      </c>
      <c r="X55" s="114"/>
      <c r="Y55" s="108"/>
      <c r="Z55" s="113"/>
      <c r="AA55" s="106"/>
      <c r="AB55" s="115"/>
      <c r="AC55" s="116"/>
      <c r="AD55" s="117"/>
      <c r="AE55" s="117"/>
      <c r="AF55" s="117"/>
      <c r="AG55" s="118"/>
      <c r="AH55" s="119"/>
      <c r="AI55" s="119"/>
      <c r="AJ55" s="120"/>
      <c r="AK55" s="106"/>
      <c r="AL55" s="106"/>
      <c r="AM55" s="106"/>
      <c r="AN55" s="121"/>
      <c r="AO55" s="122"/>
      <c r="AP55" s="107"/>
      <c r="AQ55" s="107"/>
      <c r="AR55" s="123">
        <f>AVERAGE(AR4:AR54)</f>
        <v>61.12036767</v>
      </c>
    </row>
    <row r="56" ht="14.25" customHeight="1"/>
    <row r="57" ht="14.25" customHeight="1"/>
    <row r="58" ht="14.25" customHeight="1"/>
    <row r="59" ht="14.25" customHeight="1"/>
    <row r="60" ht="14.25" customHeight="1"/>
    <row r="61" ht="14.25" customHeight="1">
      <c r="O61" s="124" t="s">
        <v>160</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41EAD126-16FB-4A8D-894A-CEA6439A4201}" filter="1" showAutoFilter="1">
      <autoFilter ref="$A$2:$AR$55"/>
    </customSheetView>
  </customSheetViews>
  <mergeCells count="9">
    <mergeCell ref="AK1:AN1"/>
    <mergeCell ref="AP1:AR1"/>
    <mergeCell ref="D1:E1"/>
    <mergeCell ref="F1:H1"/>
    <mergeCell ref="I1:U1"/>
    <mergeCell ref="V1:X1"/>
    <mergeCell ref="Y1:AC1"/>
    <mergeCell ref="AD1:AG1"/>
    <mergeCell ref="AH1:AJ1"/>
  </mergeCells>
  <conditionalFormatting sqref="AB3:AB54">
    <cfRule type="containsText" dxfId="4" priority="1" operator="containsText" text="SI">
      <formula>NOT(ISERROR(SEARCH(("SI"),(AB3))))</formula>
    </cfRule>
  </conditionalFormatting>
  <conditionalFormatting sqref="AB3:AB54">
    <cfRule type="containsText" dxfId="5" priority="2" operator="containsText" text="NO">
      <formula>NOT(ISERROR(SEARCH(("NO"),(AB3))))</formula>
    </cfRule>
  </conditionalFormatting>
  <conditionalFormatting sqref="AF3:AF54">
    <cfRule type="containsText" dxfId="4" priority="3" operator="containsText" text="SI">
      <formula>NOT(ISERROR(SEARCH(("SI"),(AF3))))</formula>
    </cfRule>
  </conditionalFormatting>
  <conditionalFormatting sqref="AF3:AF54">
    <cfRule type="containsText" dxfId="5" priority="4" operator="containsText" text="NO">
      <formula>NOT(ISERROR(SEARCH(("NO"),(AF3))))</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9.71"/>
    <col customWidth="1" min="2" max="2" width="13.0"/>
    <col customWidth="1" min="3" max="3" width="25.14"/>
    <col customWidth="1" min="4" max="4" width="6.43"/>
    <col customWidth="1" min="5" max="5" width="6.29"/>
    <col customWidth="1" min="6" max="8" width="8.0"/>
    <col customWidth="1" min="9" max="11" width="6.43"/>
    <col customWidth="1" min="12" max="12" width="9.43"/>
    <col customWidth="1" min="13" max="15" width="6.57"/>
    <col customWidth="1" min="16" max="16" width="10.0"/>
    <col customWidth="1" min="17" max="19" width="6.0"/>
    <col customWidth="1" min="20" max="20" width="9.0"/>
    <col customWidth="1" min="21" max="21" width="8.86"/>
    <col customWidth="1" min="22" max="23" width="8.0"/>
    <col customWidth="1" min="24" max="24" width="9.71"/>
    <col customWidth="1" min="25" max="27" width="7.43"/>
    <col customWidth="1" min="28" max="28" width="4.86"/>
    <col customWidth="1" min="29" max="29" width="11.43"/>
    <col customWidth="1" min="30" max="31" width="9.71"/>
    <col customWidth="1" min="32" max="32" width="5.0"/>
    <col customWidth="1" min="33" max="33" width="11.43"/>
    <col customWidth="1" min="34" max="36" width="8.14"/>
    <col customWidth="1" min="37" max="39" width="7.29"/>
    <col customWidth="1" min="40" max="40" width="10.29"/>
    <col customWidth="1" min="41" max="41" width="10.86"/>
    <col customWidth="1" min="42" max="43" width="9.0"/>
    <col customWidth="1" min="44" max="44" width="11.43"/>
  </cols>
  <sheetData>
    <row r="1" ht="68.25" customHeight="1">
      <c r="D1" s="1" t="s">
        <v>161</v>
      </c>
      <c r="E1" s="2"/>
      <c r="F1" s="125" t="s">
        <v>1</v>
      </c>
      <c r="G1" s="4"/>
      <c r="H1" s="5"/>
      <c r="I1" s="6" t="s">
        <v>2</v>
      </c>
      <c r="J1" s="4"/>
      <c r="K1" s="4"/>
      <c r="L1" s="4"/>
      <c r="M1" s="4"/>
      <c r="N1" s="4"/>
      <c r="O1" s="4"/>
      <c r="P1" s="4"/>
      <c r="Q1" s="4"/>
      <c r="R1" s="4"/>
      <c r="S1" s="4"/>
      <c r="T1" s="4"/>
      <c r="U1" s="5"/>
      <c r="V1" s="7" t="s">
        <v>3</v>
      </c>
      <c r="W1" s="4"/>
      <c r="X1" s="5"/>
      <c r="Y1" s="126" t="s">
        <v>162</v>
      </c>
      <c r="Z1" s="4"/>
      <c r="AA1" s="4"/>
      <c r="AB1" s="4"/>
      <c r="AC1" s="5"/>
      <c r="AD1" s="9" t="s">
        <v>5</v>
      </c>
      <c r="AE1" s="4"/>
      <c r="AF1" s="4"/>
      <c r="AG1" s="10"/>
      <c r="AH1" s="11" t="s">
        <v>6</v>
      </c>
      <c r="AI1" s="4"/>
      <c r="AJ1" s="5"/>
      <c r="AK1" s="12" t="s">
        <v>7</v>
      </c>
      <c r="AL1" s="4"/>
      <c r="AM1" s="4"/>
      <c r="AN1" s="5"/>
      <c r="AO1" s="13" t="s">
        <v>8</v>
      </c>
      <c r="AP1" s="14" t="s">
        <v>9</v>
      </c>
      <c r="AQ1" s="4"/>
      <c r="AR1" s="5"/>
    </row>
    <row r="2">
      <c r="A2" s="15" t="s">
        <v>10</v>
      </c>
      <c r="B2" s="16" t="s">
        <v>11</v>
      </c>
      <c r="C2" s="16" t="s">
        <v>12</v>
      </c>
      <c r="D2" s="17" t="s">
        <v>13</v>
      </c>
      <c r="E2" s="16" t="s">
        <v>14</v>
      </c>
      <c r="F2" s="127" t="s">
        <v>15</v>
      </c>
      <c r="G2" s="127" t="s">
        <v>16</v>
      </c>
      <c r="H2" s="127" t="s">
        <v>17</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30" t="s">
        <v>34</v>
      </c>
      <c r="Z2" s="30" t="s">
        <v>35</v>
      </c>
      <c r="AA2" s="30" t="s">
        <v>36</v>
      </c>
      <c r="AB2" s="30" t="s">
        <v>37</v>
      </c>
      <c r="AC2" s="30" t="s">
        <v>38</v>
      </c>
      <c r="AD2" s="31" t="s">
        <v>39</v>
      </c>
      <c r="AE2" s="31" t="s">
        <v>40</v>
      </c>
      <c r="AF2" s="31" t="s">
        <v>41</v>
      </c>
      <c r="AG2" s="32" t="s">
        <v>42</v>
      </c>
      <c r="AH2" s="33" t="s">
        <v>43</v>
      </c>
      <c r="AI2" s="33" t="s">
        <v>44</v>
      </c>
      <c r="AJ2" s="34" t="s">
        <v>45</v>
      </c>
      <c r="AK2" s="35" t="s">
        <v>46</v>
      </c>
      <c r="AL2" s="36" t="s">
        <v>47</v>
      </c>
      <c r="AM2" s="37" t="s">
        <v>48</v>
      </c>
      <c r="AN2" s="38" t="s">
        <v>49</v>
      </c>
      <c r="AO2" s="39" t="s">
        <v>50</v>
      </c>
      <c r="AP2" s="40" t="s">
        <v>51</v>
      </c>
      <c r="AQ2" s="40" t="s">
        <v>52</v>
      </c>
      <c r="AR2" s="41" t="s">
        <v>53</v>
      </c>
    </row>
    <row r="3" ht="14.25" customHeight="1">
      <c r="A3" s="128" t="s">
        <v>163</v>
      </c>
      <c r="B3" s="128" t="s">
        <v>163</v>
      </c>
      <c r="C3" s="128" t="s">
        <v>164</v>
      </c>
      <c r="D3" s="129">
        <v>0.0</v>
      </c>
      <c r="E3" s="130">
        <v>1.0</v>
      </c>
      <c r="F3" s="131">
        <v>1.0</v>
      </c>
      <c r="G3" s="131">
        <v>1.0</v>
      </c>
      <c r="H3" s="131">
        <v>1.0</v>
      </c>
      <c r="I3" s="130">
        <v>3.0</v>
      </c>
      <c r="J3" s="130">
        <v>2.0</v>
      </c>
      <c r="K3" s="130">
        <v>5.0</v>
      </c>
      <c r="L3" s="130">
        <f>SUM('P102'!$I3:$K3)</f>
        <v>10</v>
      </c>
      <c r="M3" s="130">
        <v>3.0</v>
      </c>
      <c r="N3" s="130">
        <v>2.0</v>
      </c>
      <c r="O3" s="130">
        <v>5.0</v>
      </c>
      <c r="P3" s="130">
        <f>SUM('P102'!$M3:$O3)</f>
        <v>10</v>
      </c>
      <c r="Q3" s="130">
        <v>3.0</v>
      </c>
      <c r="R3" s="130">
        <v>2.0</v>
      </c>
      <c r="S3" s="130">
        <v>5.0</v>
      </c>
      <c r="T3" s="130">
        <f>SUM('P102'!$Q3:$S3)</f>
        <v>10</v>
      </c>
      <c r="U3" s="130">
        <f>('P102'!$L3+'P102'!$P3+'P102'!$T3)*'P102'!$F3</f>
        <v>30</v>
      </c>
      <c r="V3" s="130">
        <v>5.0</v>
      </c>
      <c r="W3" s="130">
        <v>10.0</v>
      </c>
      <c r="X3" s="132">
        <f>SUM('P102'!$V3:$W3)*'P102'!$G3</f>
        <v>15</v>
      </c>
      <c r="Y3" s="130">
        <v>2.0</v>
      </c>
      <c r="Z3" s="130">
        <v>3.0</v>
      </c>
      <c r="AA3" s="130">
        <v>5.0</v>
      </c>
      <c r="AB3" s="130" t="str">
        <f>IF(SUM('P102'!$Y3:$AA3)&gt;5.9,"SI","NO")</f>
        <v>SI</v>
      </c>
      <c r="AC3" s="130">
        <f>SUM('P102'!$Y3:$AA3)</f>
        <v>10</v>
      </c>
      <c r="AD3" s="130">
        <v>2.0</v>
      </c>
      <c r="AE3" s="130">
        <v>8.0</v>
      </c>
      <c r="AF3" s="130" t="str">
        <f>IF('P102'!$AG3&gt;5.9,"SI","NO")</f>
        <v>SI</v>
      </c>
      <c r="AG3" s="130">
        <f>SUM('P102'!$AD3:$AE3)</f>
        <v>10</v>
      </c>
      <c r="AH3" s="132">
        <v>5.0</v>
      </c>
      <c r="AI3" s="132">
        <v>5.0</v>
      </c>
      <c r="AJ3" s="132">
        <f>AVERAGE('P102'!$AH3:$AI3)*'P102'!$H3</f>
        <v>5</v>
      </c>
      <c r="AK3" s="130">
        <v>1.0</v>
      </c>
      <c r="AL3" s="133">
        <v>10.0</v>
      </c>
      <c r="AM3" s="133">
        <v>10.0</v>
      </c>
      <c r="AN3" s="130">
        <f>(1*('P102'!$AL3+'P102'!$AM3))*'P102'!$AK3</f>
        <v>20</v>
      </c>
      <c r="AO3" s="130">
        <v>10.0</v>
      </c>
      <c r="AP3" s="130">
        <f>SUM('P102'!$U3)</f>
        <v>30</v>
      </c>
      <c r="AQ3" s="134">
        <f>SUM(AN3,AJ3,AG3,AC3,X3,('P102'!$AO3)*H3)</f>
        <v>70</v>
      </c>
      <c r="AR3" s="134">
        <f>'P102'!$AP3+'P102'!$AQ3</f>
        <v>100</v>
      </c>
    </row>
    <row r="4" ht="14.25" customHeight="1">
      <c r="A4" s="135" t="s">
        <v>165</v>
      </c>
      <c r="B4" s="136">
        <v>2.02411948E8</v>
      </c>
      <c r="C4" s="137" t="s">
        <v>166</v>
      </c>
      <c r="D4" s="138">
        <v>7.0</v>
      </c>
      <c r="E4" s="49"/>
      <c r="F4" s="139">
        <v>0.5</v>
      </c>
      <c r="G4" s="139">
        <v>1.029310232</v>
      </c>
      <c r="H4" s="139">
        <v>0.5</v>
      </c>
      <c r="I4" s="52">
        <v>2.25</v>
      </c>
      <c r="J4" s="53">
        <v>2.0</v>
      </c>
      <c r="K4" s="54">
        <v>4.3</v>
      </c>
      <c r="L4" s="55">
        <f>IF(I4&lt;1.79,SUM(I4:J4), SUM('P102'!$Q4:$S4))</f>
        <v>7.7</v>
      </c>
      <c r="M4" s="52">
        <v>2.25</v>
      </c>
      <c r="N4" s="53">
        <v>1.75</v>
      </c>
      <c r="O4" s="54">
        <v>3.7</v>
      </c>
      <c r="P4" s="55">
        <f>IF(M4&lt;1.79,SUM(M4:N4), SUM('P102'!$Q4:$S4))</f>
        <v>7.7</v>
      </c>
      <c r="Q4" s="52">
        <v>2.25</v>
      </c>
      <c r="R4" s="53">
        <v>1.75</v>
      </c>
      <c r="S4" s="54">
        <v>3.7</v>
      </c>
      <c r="T4" s="55">
        <f>IF(Q4&lt;1.79,SUM(Q4:R4), SUM('P102'!$Q4:$S4))</f>
        <v>7.7</v>
      </c>
      <c r="U4" s="56">
        <f>('P102'!$L4+'P102'!$P4+'P102'!$T4)*'P102'!$F4</f>
        <v>11.55</v>
      </c>
      <c r="V4" s="57">
        <v>3.55</v>
      </c>
      <c r="W4" s="57">
        <v>7.0</v>
      </c>
      <c r="X4" s="58">
        <f>SUM('P102'!$V4:$W4)*'P102'!$G4</f>
        <v>10.85922295</v>
      </c>
      <c r="Y4" s="140">
        <v>1.5</v>
      </c>
      <c r="Z4" s="140">
        <v>0.0</v>
      </c>
      <c r="AA4" s="140">
        <v>2.5</v>
      </c>
      <c r="AB4" s="60" t="str">
        <f>IF(SUM('P102'!$Y4:$AA4)&gt;5.9,"SI","NO")</f>
        <v>NO</v>
      </c>
      <c r="AC4" s="61">
        <f>SUM('P102'!$Y4:$AA4)</f>
        <v>4</v>
      </c>
      <c r="AD4" s="62">
        <v>0.0</v>
      </c>
      <c r="AE4" s="62">
        <v>4.0</v>
      </c>
      <c r="AF4" s="63" t="str">
        <f>IF('P102'!$AG4&gt;5.9,"SI","NO")</f>
        <v>NO</v>
      </c>
      <c r="AG4" s="64">
        <f>SUM('P102'!$AD4:$AE4)</f>
        <v>4</v>
      </c>
      <c r="AH4" s="141">
        <f>IF('P102'!$AF4="NO",0," ")</f>
        <v>0</v>
      </c>
      <c r="AI4" s="141">
        <f>IF('P102'!$AF4="NO",0," ")</f>
        <v>0</v>
      </c>
      <c r="AJ4" s="66">
        <f>AVERAGE('P102'!$AH4:$AI4)*'P102'!$H4</f>
        <v>0</v>
      </c>
      <c r="AK4" s="142">
        <v>0.0</v>
      </c>
      <c r="AL4" s="143">
        <v>0.0</v>
      </c>
      <c r="AM4" s="144">
        <v>0.0</v>
      </c>
      <c r="AN4" s="46">
        <f>(1*('P102'!$AL4+'P102'!$AM4))*'P102'!$AK4</f>
        <v>0</v>
      </c>
      <c r="AO4" s="70">
        <v>7.25</v>
      </c>
      <c r="AP4" s="71">
        <f>SUM('P102'!$U4)</f>
        <v>11.55</v>
      </c>
      <c r="AQ4" s="134">
        <f>SUM(AN4,AJ4,AG4,AC4,X4,('P102'!$AO4)*H4)</f>
        <v>22.48422295</v>
      </c>
      <c r="AR4" s="72">
        <f>'P102'!$AP4+'P102'!$AQ4</f>
        <v>34.03422295</v>
      </c>
    </row>
    <row r="5" ht="14.25" customHeight="1">
      <c r="A5" s="145" t="s">
        <v>167</v>
      </c>
      <c r="B5" s="146">
        <v>2.02411559E8</v>
      </c>
      <c r="C5" s="145" t="s">
        <v>168</v>
      </c>
      <c r="D5" s="147">
        <v>6.0</v>
      </c>
      <c r="E5" s="49"/>
      <c r="F5" s="139">
        <v>1.217161239</v>
      </c>
      <c r="G5" s="139">
        <v>1.240347346</v>
      </c>
      <c r="H5" s="139">
        <v>0.5</v>
      </c>
      <c r="I5" s="52">
        <v>2.25</v>
      </c>
      <c r="J5" s="53">
        <v>2.0</v>
      </c>
      <c r="K5" s="54">
        <v>4.2</v>
      </c>
      <c r="L5" s="55">
        <f>IF(I5&lt;1.79,SUM(I5:J5), SUM('P102'!$Q5:$S5))</f>
        <v>4.25</v>
      </c>
      <c r="M5" s="52">
        <v>2.25</v>
      </c>
      <c r="N5" s="53">
        <v>2.0</v>
      </c>
      <c r="O5" s="54">
        <v>0.0</v>
      </c>
      <c r="P5" s="55">
        <f>IF(M5&lt;1.79,SUM(M5:N5), SUM('P102'!$Q5:$S5))</f>
        <v>4.25</v>
      </c>
      <c r="Q5" s="52">
        <v>2.25</v>
      </c>
      <c r="R5" s="53">
        <v>2.0</v>
      </c>
      <c r="S5" s="54">
        <v>0.0</v>
      </c>
      <c r="T5" s="55">
        <f>IF(Q5&lt;1.79,SUM(Q5:R5), SUM('P102'!$Q5:$S5))</f>
        <v>4.25</v>
      </c>
      <c r="U5" s="56">
        <f>('P102'!$L5+'P102'!$P5+'P102'!$T5)*'P102'!$F5</f>
        <v>15.5188058</v>
      </c>
      <c r="V5" s="57">
        <v>4.3</v>
      </c>
      <c r="W5" s="57">
        <v>8.0</v>
      </c>
      <c r="X5" s="58">
        <f>SUM('P102'!$V5:$W5)*'P102'!$G5</f>
        <v>15.25627236</v>
      </c>
      <c r="Y5" s="140">
        <v>1.0</v>
      </c>
      <c r="Z5" s="140">
        <v>3.0</v>
      </c>
      <c r="AA5" s="140">
        <v>5.0</v>
      </c>
      <c r="AB5" s="60" t="str">
        <f>IF(SUM('P102'!$Y5:$AA5)&gt;5.9,"SI","NO")</f>
        <v>SI</v>
      </c>
      <c r="AC5" s="61">
        <f>SUM('P102'!$Y5:$AA5)</f>
        <v>9</v>
      </c>
      <c r="AD5" s="62">
        <v>1.0</v>
      </c>
      <c r="AE5" s="62">
        <v>2.0</v>
      </c>
      <c r="AF5" s="63" t="str">
        <f>IF('P102'!$AG5&gt;5.9,"SI","NO")</f>
        <v>NO</v>
      </c>
      <c r="AG5" s="64">
        <f>SUM('P102'!$AD5:$AE5)</f>
        <v>3</v>
      </c>
      <c r="AH5" s="141">
        <f>IF('P102'!$AF5="NO",0," ")</f>
        <v>0</v>
      </c>
      <c r="AI5" s="141">
        <f>IF('P102'!$AF5="NO",0," ")</f>
        <v>0</v>
      </c>
      <c r="AJ5" s="66">
        <f>AVERAGE('P102'!$AH5:$AI5)*'P102'!$H5</f>
        <v>0</v>
      </c>
      <c r="AK5" s="142">
        <v>0.0</v>
      </c>
      <c r="AL5" s="143">
        <v>0.0</v>
      </c>
      <c r="AM5" s="144">
        <v>0.0</v>
      </c>
      <c r="AN5" s="46">
        <f>(1*('P102'!$AL5+'P102'!$AM5))*'P102'!$AK5</f>
        <v>0</v>
      </c>
      <c r="AO5" s="70">
        <v>7.25</v>
      </c>
      <c r="AP5" s="71">
        <f>SUM('P102'!$U5)</f>
        <v>15.5188058</v>
      </c>
      <c r="AQ5" s="134">
        <f>SUM(AN5,AJ5,AG5,AC5,X5,('P102'!$AO5)*H5)</f>
        <v>30.88127236</v>
      </c>
      <c r="AR5" s="72">
        <f>'P102'!$AP5+'P102'!$AQ5</f>
        <v>46.40007815</v>
      </c>
    </row>
    <row r="6" ht="14.25" customHeight="1">
      <c r="A6" s="137" t="s">
        <v>169</v>
      </c>
      <c r="B6" s="136">
        <v>2.02401386E8</v>
      </c>
      <c r="C6" s="137" t="s">
        <v>170</v>
      </c>
      <c r="D6" s="138">
        <v>2.0</v>
      </c>
      <c r="E6" s="49"/>
      <c r="F6" s="139">
        <v>0.5</v>
      </c>
      <c r="G6" s="139">
        <v>0.5</v>
      </c>
      <c r="H6" s="139">
        <v>0.5</v>
      </c>
      <c r="I6" s="52">
        <v>1.5</v>
      </c>
      <c r="J6" s="53">
        <v>1.0</v>
      </c>
      <c r="K6" s="54">
        <v>3.0</v>
      </c>
      <c r="L6" s="55">
        <f>IF(I6&lt;1.79,SUM(I6:J6), SUM('P102'!$Q6:$S6))</f>
        <v>2.5</v>
      </c>
      <c r="M6" s="52">
        <v>1.5</v>
      </c>
      <c r="N6" s="53">
        <v>0.0</v>
      </c>
      <c r="O6" s="54">
        <v>0.0</v>
      </c>
      <c r="P6" s="55">
        <f>IF(M6&lt;1.79,SUM(M6:N6), SUM('P102'!$Q6:$S6))</f>
        <v>1.5</v>
      </c>
      <c r="Q6" s="52">
        <v>1.5</v>
      </c>
      <c r="R6" s="53">
        <v>0.0</v>
      </c>
      <c r="S6" s="54">
        <v>0.0</v>
      </c>
      <c r="T6" s="55">
        <f>IF(Q6&lt;1.79,SUM(Q6:R6), SUM('P102'!$Q6:$S6))</f>
        <v>1.5</v>
      </c>
      <c r="U6" s="56">
        <f>('P102'!$L6+'P102'!$P6+'P102'!$T6)*'P102'!$F6</f>
        <v>2.75</v>
      </c>
      <c r="V6" s="57">
        <v>3.65</v>
      </c>
      <c r="W6" s="57">
        <v>3.5</v>
      </c>
      <c r="X6" s="58">
        <f>SUM('P102'!$V6:$W6)*'P102'!$G6</f>
        <v>3.575</v>
      </c>
      <c r="Y6" s="140">
        <v>0.5</v>
      </c>
      <c r="Z6" s="148">
        <v>0.0</v>
      </c>
      <c r="AA6" s="148">
        <v>0.0</v>
      </c>
      <c r="AB6" s="60" t="str">
        <f>IF(SUM('P102'!$Y6:$AA6)&gt;5.9,"SI","NO")</f>
        <v>NO</v>
      </c>
      <c r="AC6" s="61">
        <f>SUM('P102'!$Y6:$AA6)</f>
        <v>0.5</v>
      </c>
      <c r="AD6" s="62">
        <v>1.0</v>
      </c>
      <c r="AE6" s="62">
        <v>1.0</v>
      </c>
      <c r="AF6" s="63" t="str">
        <f>IF('P102'!$AG6&gt;5.9,"SI","NO")</f>
        <v>NO</v>
      </c>
      <c r="AG6" s="64">
        <f>SUM('P102'!$AD6:$AE6)</f>
        <v>2</v>
      </c>
      <c r="AH6" s="141">
        <f>IF('P102'!$AF6="NO",0," ")</f>
        <v>0</v>
      </c>
      <c r="AI6" s="141">
        <f>IF('P102'!$AF6="NO",0," ")</f>
        <v>0</v>
      </c>
      <c r="AJ6" s="66">
        <f>AVERAGE('P102'!$AH6:$AI6)*'P102'!$H6</f>
        <v>0</v>
      </c>
      <c r="AK6" s="142">
        <v>0.0</v>
      </c>
      <c r="AL6" s="143">
        <v>0.0</v>
      </c>
      <c r="AM6" s="144">
        <v>0.0</v>
      </c>
      <c r="AN6" s="46">
        <f>(1*('P102'!$AL6+'P102'!$AM6))*'P102'!$AK6</f>
        <v>0</v>
      </c>
      <c r="AO6" s="70">
        <v>0.0</v>
      </c>
      <c r="AP6" s="71">
        <f>SUM('P102'!$U6)</f>
        <v>2.75</v>
      </c>
      <c r="AQ6" s="134">
        <f>SUM(AN6,AJ6,AG6,AC6,X6,('P102'!$AO6)*H6)</f>
        <v>6.075</v>
      </c>
      <c r="AR6" s="72">
        <f>'P102'!$AP6+'P102'!$AQ6</f>
        <v>8.825</v>
      </c>
    </row>
    <row r="7" ht="14.25" customHeight="1">
      <c r="A7" s="145" t="s">
        <v>171</v>
      </c>
      <c r="B7" s="146">
        <v>2.02404984E8</v>
      </c>
      <c r="C7" s="145" t="s">
        <v>172</v>
      </c>
      <c r="D7" s="147">
        <v>4.0</v>
      </c>
      <c r="E7" s="49"/>
      <c r="F7" s="139">
        <v>1.214664495</v>
      </c>
      <c r="G7" s="139">
        <v>1.348399725</v>
      </c>
      <c r="H7" s="139">
        <v>0.5</v>
      </c>
      <c r="I7" s="52">
        <v>2.25</v>
      </c>
      <c r="J7" s="53">
        <v>1.0</v>
      </c>
      <c r="K7" s="54">
        <v>4.5</v>
      </c>
      <c r="L7" s="55">
        <f>IF(I7&lt;1.79,SUM(I7:J7), SUM('P102'!$Q7:$S7))</f>
        <v>7.45</v>
      </c>
      <c r="M7" s="52">
        <v>2.25</v>
      </c>
      <c r="N7" s="53">
        <v>1.5</v>
      </c>
      <c r="O7" s="54">
        <v>3.7</v>
      </c>
      <c r="P7" s="55">
        <f>IF(M7&lt;1.79,SUM(M7:N7), SUM('P102'!$Q7:$S7))</f>
        <v>7.45</v>
      </c>
      <c r="Q7" s="52">
        <v>2.25</v>
      </c>
      <c r="R7" s="53">
        <v>1.5</v>
      </c>
      <c r="S7" s="54">
        <v>3.7</v>
      </c>
      <c r="T7" s="55">
        <f>IF(Q7&lt;1.79,SUM(Q7:R7), SUM('P102'!$Q7:$S7))</f>
        <v>7.45</v>
      </c>
      <c r="U7" s="56">
        <f>('P102'!$L7+'P102'!$P7+'P102'!$T7)*'P102'!$F7</f>
        <v>27.14775146</v>
      </c>
      <c r="V7" s="57">
        <v>2.6</v>
      </c>
      <c r="W7" s="57">
        <v>6.4</v>
      </c>
      <c r="X7" s="58">
        <f>SUM('P102'!$V7:$W7)*'P102'!$G7</f>
        <v>12.13559753</v>
      </c>
      <c r="Y7" s="140">
        <v>1.0</v>
      </c>
      <c r="Z7" s="140">
        <v>1.5</v>
      </c>
      <c r="AA7" s="140">
        <v>0.0</v>
      </c>
      <c r="AB7" s="60" t="str">
        <f>IF(SUM('P102'!$Y7:$AA7)&gt;5.9,"SI","NO")</f>
        <v>NO</v>
      </c>
      <c r="AC7" s="61">
        <f>SUM('P102'!$Y7:$AA7)</f>
        <v>2.5</v>
      </c>
      <c r="AD7" s="62">
        <v>1.0</v>
      </c>
      <c r="AE7" s="62">
        <v>4.0</v>
      </c>
      <c r="AF7" s="63" t="str">
        <f>IF('P102'!$AG7&gt;5.9,"SI","NO")</f>
        <v>NO</v>
      </c>
      <c r="AG7" s="64">
        <f>SUM('P102'!$AD7:$AE7)</f>
        <v>5</v>
      </c>
      <c r="AH7" s="141">
        <f>IF('P102'!$AF7="NO",0," ")</f>
        <v>0</v>
      </c>
      <c r="AI7" s="141">
        <f>IF('P102'!$AF7="NO",0," ")</f>
        <v>0</v>
      </c>
      <c r="AJ7" s="66">
        <f>AVERAGE('P102'!$AH7:$AI7)*'P102'!$H7</f>
        <v>0</v>
      </c>
      <c r="AK7" s="142">
        <v>0.0</v>
      </c>
      <c r="AL7" s="143">
        <v>0.0</v>
      </c>
      <c r="AM7" s="144">
        <v>0.0</v>
      </c>
      <c r="AN7" s="46">
        <f>(1*('P102'!$AL7+'P102'!$AM7))*'P102'!$AK7</f>
        <v>0</v>
      </c>
      <c r="AO7" s="70">
        <v>7.0</v>
      </c>
      <c r="AP7" s="71">
        <f>SUM('P102'!$U7)</f>
        <v>27.14775146</v>
      </c>
      <c r="AQ7" s="134">
        <f>SUM(AN7,AJ7,AG7,AC7,X7,('P102'!$AO7)*H7)</f>
        <v>23.13559753</v>
      </c>
      <c r="AR7" s="72">
        <f>'P102'!$AP7+'P102'!$AQ7</f>
        <v>50.28334899</v>
      </c>
    </row>
    <row r="8" ht="14.25" customHeight="1">
      <c r="A8" s="137" t="s">
        <v>173</v>
      </c>
      <c r="B8" s="136">
        <v>2.02406484E8</v>
      </c>
      <c r="C8" s="137" t="s">
        <v>174</v>
      </c>
      <c r="D8" s="138">
        <v>8.0</v>
      </c>
      <c r="E8" s="49"/>
      <c r="F8" s="139">
        <v>0.5</v>
      </c>
      <c r="G8" s="139">
        <v>0.5</v>
      </c>
      <c r="H8" s="139">
        <v>0.5</v>
      </c>
      <c r="I8" s="52">
        <v>2.25</v>
      </c>
      <c r="J8" s="53">
        <v>2.0</v>
      </c>
      <c r="K8" s="54">
        <v>3.8</v>
      </c>
      <c r="L8" s="55">
        <f>IF(I8&lt;1.79,SUM(I8:J8), SUM('P102'!$Q8:$S8))</f>
        <v>2.25</v>
      </c>
      <c r="M8" s="52">
        <v>2.25</v>
      </c>
      <c r="N8" s="53">
        <v>0.0</v>
      </c>
      <c r="O8" s="54">
        <v>0.0</v>
      </c>
      <c r="P8" s="55">
        <f>IF(M8&lt;1.79,SUM(M8:N8), SUM('P102'!$Q8:$S8))</f>
        <v>2.25</v>
      </c>
      <c r="Q8" s="52">
        <v>2.25</v>
      </c>
      <c r="R8" s="53">
        <v>0.0</v>
      </c>
      <c r="S8" s="54">
        <v>0.0</v>
      </c>
      <c r="T8" s="55">
        <f>IF(Q8&lt;1.79,SUM(Q8:R8), SUM('P102'!$Q8:$S8))</f>
        <v>2.25</v>
      </c>
      <c r="U8" s="56">
        <f>('P102'!$L8+'P102'!$P8+'P102'!$T8)*'P102'!$F8</f>
        <v>3.375</v>
      </c>
      <c r="V8" s="57">
        <v>3.8</v>
      </c>
      <c r="W8" s="57">
        <v>8.0</v>
      </c>
      <c r="X8" s="58">
        <f>SUM('P102'!$V8:$W8)*'P102'!$G8</f>
        <v>5.9</v>
      </c>
      <c r="Y8" s="140">
        <v>1.5</v>
      </c>
      <c r="Z8" s="148">
        <v>0.0</v>
      </c>
      <c r="AA8" s="148">
        <v>0.0</v>
      </c>
      <c r="AB8" s="60" t="str">
        <f>IF(SUM('P102'!$Y8:$AA8)&gt;5.9,"SI","NO")</f>
        <v>NO</v>
      </c>
      <c r="AC8" s="61">
        <f>SUM('P102'!$Y8:$AA8)</f>
        <v>1.5</v>
      </c>
      <c r="AD8" s="62">
        <v>1.0</v>
      </c>
      <c r="AE8" s="62">
        <v>0.0</v>
      </c>
      <c r="AF8" s="63" t="str">
        <f>IF('P102'!$AG8&gt;5.9,"SI","NO")</f>
        <v>NO</v>
      </c>
      <c r="AG8" s="64">
        <f>SUM('P102'!$AD8:$AE8)</f>
        <v>1</v>
      </c>
      <c r="AH8" s="141">
        <f>IF('P102'!$AF8="NO",0," ")</f>
        <v>0</v>
      </c>
      <c r="AI8" s="141">
        <f>IF('P102'!$AF8="NO",0," ")</f>
        <v>0</v>
      </c>
      <c r="AJ8" s="66">
        <f>AVERAGE('P102'!$AH8:$AI8)*'P102'!$H8</f>
        <v>0</v>
      </c>
      <c r="AK8" s="142">
        <v>0.0</v>
      </c>
      <c r="AL8" s="143">
        <v>0.0</v>
      </c>
      <c r="AM8" s="144">
        <v>0.0</v>
      </c>
      <c r="AN8" s="46">
        <f>(1*('P102'!$AL8+'P102'!$AM8))*'P102'!$AK8</f>
        <v>0</v>
      </c>
      <c r="AO8" s="70">
        <v>0.0</v>
      </c>
      <c r="AP8" s="71">
        <f>SUM('P102'!$U8)</f>
        <v>3.375</v>
      </c>
      <c r="AQ8" s="134">
        <f>SUM(AN8,AJ8,AG8,AC8,X8,('P102'!$AO8)*H8)</f>
        <v>8.4</v>
      </c>
      <c r="AR8" s="72">
        <f>'P102'!$AP8+'P102'!$AQ8</f>
        <v>11.775</v>
      </c>
    </row>
    <row r="9" ht="14.25" customHeight="1">
      <c r="A9" s="145" t="s">
        <v>175</v>
      </c>
      <c r="B9" s="146">
        <v>2.02401287E8</v>
      </c>
      <c r="C9" s="145" t="s">
        <v>176</v>
      </c>
      <c r="D9" s="147">
        <v>8.0</v>
      </c>
      <c r="E9" s="49"/>
      <c r="F9" s="139">
        <v>1.25</v>
      </c>
      <c r="G9" s="139">
        <v>1.25</v>
      </c>
      <c r="H9" s="139">
        <v>1.25</v>
      </c>
      <c r="I9" s="52">
        <v>3.0</v>
      </c>
      <c r="J9" s="53">
        <v>2.0</v>
      </c>
      <c r="K9" s="54">
        <v>3.8</v>
      </c>
      <c r="L9" s="55">
        <f>IF(I9&lt;1.79,SUM(I9:J9), SUM('P102'!$Q9:$S9))</f>
        <v>4.5</v>
      </c>
      <c r="M9" s="52">
        <v>3.0</v>
      </c>
      <c r="N9" s="53">
        <v>0.0</v>
      </c>
      <c r="O9" s="54">
        <v>0.0</v>
      </c>
      <c r="P9" s="55">
        <f>IF(M9&lt;1.79,SUM(M9:N9), SUM('P102'!$Q9:$S9))</f>
        <v>4.5</v>
      </c>
      <c r="Q9" s="52">
        <v>3.0</v>
      </c>
      <c r="R9" s="53">
        <v>1.5</v>
      </c>
      <c r="S9" s="54">
        <v>0.0</v>
      </c>
      <c r="T9" s="55">
        <f>IF(Q9&lt;1.79,SUM(Q9:R9), SUM('P102'!$Q9:$S9))</f>
        <v>4.5</v>
      </c>
      <c r="U9" s="56">
        <f>('P102'!$L9+'P102'!$P9+'P102'!$T9)*'P102'!$F9</f>
        <v>16.875</v>
      </c>
      <c r="V9" s="57">
        <v>3.8</v>
      </c>
      <c r="W9" s="57">
        <v>8.0</v>
      </c>
      <c r="X9" s="58">
        <f>SUM('P102'!$V9:$W9)*'P102'!$G9</f>
        <v>14.75</v>
      </c>
      <c r="Y9" s="140">
        <v>1.5</v>
      </c>
      <c r="Z9" s="140">
        <v>1.5</v>
      </c>
      <c r="AA9" s="140">
        <v>1.25</v>
      </c>
      <c r="AB9" s="60" t="str">
        <f>IF(SUM('P102'!$Y9:$AA9)&gt;5.9,"SI","NO")</f>
        <v>NO</v>
      </c>
      <c r="AC9" s="61">
        <f>SUM('P102'!$Y9:$AA9)</f>
        <v>4.25</v>
      </c>
      <c r="AD9" s="62">
        <v>1.0</v>
      </c>
      <c r="AE9" s="149">
        <v>4.5</v>
      </c>
      <c r="AF9" s="63" t="str">
        <f>IF('P102'!$AG9&gt;5.9,"SI","NO")</f>
        <v>NO</v>
      </c>
      <c r="AG9" s="64">
        <f>SUM('P102'!$AD9:$AE9)</f>
        <v>5.5</v>
      </c>
      <c r="AH9" s="141">
        <f>IF('P102'!$AF9="NO",0," ")</f>
        <v>0</v>
      </c>
      <c r="AI9" s="141">
        <f>IF('P102'!$AF9="NO",0," ")</f>
        <v>0</v>
      </c>
      <c r="AJ9" s="66">
        <f>AVERAGE('P102'!$AH9:$AI9)*'P102'!$H9</f>
        <v>0</v>
      </c>
      <c r="AK9" s="142">
        <v>0.0</v>
      </c>
      <c r="AL9" s="143">
        <v>0.0</v>
      </c>
      <c r="AM9" s="144">
        <v>0.0</v>
      </c>
      <c r="AN9" s="46">
        <f>(1*('P102'!$AL9+'P102'!$AM9))*'P102'!$AK9</f>
        <v>0</v>
      </c>
      <c r="AO9" s="70">
        <v>8.0</v>
      </c>
      <c r="AP9" s="71">
        <f>SUM('P102'!$U9)</f>
        <v>16.875</v>
      </c>
      <c r="AQ9" s="134">
        <f>SUM(AN9,AJ9,AG9,AC9,X9,('P102'!$AO9)*H9)</f>
        <v>34.5</v>
      </c>
      <c r="AR9" s="72">
        <f>'P102'!$AP9+'P102'!$AQ9</f>
        <v>51.375</v>
      </c>
    </row>
    <row r="10" ht="14.25" customHeight="1">
      <c r="A10" s="137" t="s">
        <v>177</v>
      </c>
      <c r="B10" s="136">
        <v>2.02210589E8</v>
      </c>
      <c r="C10" s="137" t="s">
        <v>178</v>
      </c>
      <c r="D10" s="138">
        <v>4.0</v>
      </c>
      <c r="E10" s="49"/>
      <c r="F10" s="139">
        <v>1.116199641</v>
      </c>
      <c r="G10" s="139">
        <v>1.154700538</v>
      </c>
      <c r="H10" s="139">
        <v>0.5</v>
      </c>
      <c r="I10" s="52">
        <v>3.0</v>
      </c>
      <c r="J10" s="53">
        <v>1.0</v>
      </c>
      <c r="K10" s="54">
        <v>4.5</v>
      </c>
      <c r="L10" s="55">
        <f>IF(I10&lt;1.79,SUM(I10:J10), SUM('P102'!$Q10:$S10))</f>
        <v>8.2</v>
      </c>
      <c r="M10" s="52">
        <v>3.0</v>
      </c>
      <c r="N10" s="53">
        <v>1.5</v>
      </c>
      <c r="O10" s="54">
        <v>3.7</v>
      </c>
      <c r="P10" s="55">
        <f>IF(M10&lt;1.79,SUM(M10:N10), SUM('P102'!$Q10:$S10))</f>
        <v>8.2</v>
      </c>
      <c r="Q10" s="52">
        <v>3.0</v>
      </c>
      <c r="R10" s="53">
        <v>1.5</v>
      </c>
      <c r="S10" s="54">
        <v>3.7</v>
      </c>
      <c r="T10" s="55">
        <f>IF(Q10&lt;1.79,SUM(Q10:R10), SUM('P102'!$Q10:$S10))</f>
        <v>8.2</v>
      </c>
      <c r="U10" s="56">
        <f>('P102'!$L10+'P102'!$P10+'P102'!$T10)*'P102'!$F10</f>
        <v>27.45851117</v>
      </c>
      <c r="V10" s="57">
        <v>2.6</v>
      </c>
      <c r="W10" s="57">
        <v>6.41</v>
      </c>
      <c r="X10" s="58">
        <f>SUM('P102'!$V10:$W10)*'P102'!$G10</f>
        <v>10.40385185</v>
      </c>
      <c r="Y10" s="140">
        <v>1.5</v>
      </c>
      <c r="Z10" s="140">
        <v>0.0</v>
      </c>
      <c r="AA10" s="148">
        <v>0.0</v>
      </c>
      <c r="AB10" s="60" t="str">
        <f>IF(SUM('P102'!$Y10:$AA10)&gt;5.9,"SI","NO")</f>
        <v>NO</v>
      </c>
      <c r="AC10" s="61">
        <f>SUM('P102'!$Y10:$AA10)</f>
        <v>1.5</v>
      </c>
      <c r="AD10" s="62">
        <v>1.0</v>
      </c>
      <c r="AE10" s="62">
        <v>4.0</v>
      </c>
      <c r="AF10" s="63" t="str">
        <f>IF('P102'!$AG10&gt;5.9,"SI","NO")</f>
        <v>NO</v>
      </c>
      <c r="AG10" s="64">
        <f>SUM('P102'!$AD10:$AE10)</f>
        <v>5</v>
      </c>
      <c r="AH10" s="141">
        <f>IF('P102'!$AF10="NO",0," ")</f>
        <v>0</v>
      </c>
      <c r="AI10" s="141">
        <f>IF('P102'!$AF10="NO",0," ")</f>
        <v>0</v>
      </c>
      <c r="AJ10" s="66">
        <f>AVERAGE('P102'!$AH10:$AI10)*'P102'!$H10</f>
        <v>0</v>
      </c>
      <c r="AK10" s="142">
        <v>0.0</v>
      </c>
      <c r="AL10" s="143">
        <v>0.0</v>
      </c>
      <c r="AM10" s="144">
        <v>0.0</v>
      </c>
      <c r="AN10" s="46">
        <f>(1*('P102'!$AL10+'P102'!$AM10))*'P102'!$AK10</f>
        <v>0</v>
      </c>
      <c r="AO10" s="70">
        <v>7.0</v>
      </c>
      <c r="AP10" s="71">
        <f>SUM('P102'!$U10)</f>
        <v>27.45851117</v>
      </c>
      <c r="AQ10" s="134">
        <f>SUM(AN10,AJ10,AG10,AC10,X10,('P102'!$AO10)*H10)</f>
        <v>20.40385185</v>
      </c>
      <c r="AR10" s="72">
        <f>'P102'!$AP10+'P102'!$AQ10</f>
        <v>47.86236302</v>
      </c>
    </row>
    <row r="11" ht="14.25" customHeight="1">
      <c r="A11" s="145" t="s">
        <v>179</v>
      </c>
      <c r="B11" s="146">
        <v>2.02502266E8</v>
      </c>
      <c r="C11" s="145" t="s">
        <v>180</v>
      </c>
      <c r="D11" s="147">
        <v>3.0</v>
      </c>
      <c r="E11" s="49"/>
      <c r="F11" s="139">
        <v>1.154700538</v>
      </c>
      <c r="G11" s="139">
        <v>1.154700538</v>
      </c>
      <c r="H11" s="139">
        <v>1.154700538</v>
      </c>
      <c r="I11" s="52">
        <v>2.25</v>
      </c>
      <c r="J11" s="53">
        <v>1.25</v>
      </c>
      <c r="K11" s="54">
        <v>4.75</v>
      </c>
      <c r="L11" s="55">
        <f>IF(I11&lt;1.79,SUM(I11:J11), SUM('P102'!$Q11:$S11))</f>
        <v>7.85</v>
      </c>
      <c r="M11" s="52">
        <v>2.25</v>
      </c>
      <c r="N11" s="53">
        <v>2.0</v>
      </c>
      <c r="O11" s="54">
        <v>3.6</v>
      </c>
      <c r="P11" s="55">
        <f>IF(M11&lt;1.79,SUM(M11:N11), SUM('P102'!$Q11:$S11))</f>
        <v>7.85</v>
      </c>
      <c r="Q11" s="52">
        <v>2.25</v>
      </c>
      <c r="R11" s="53">
        <v>2.0</v>
      </c>
      <c r="S11" s="54">
        <v>3.6</v>
      </c>
      <c r="T11" s="55">
        <f>IF(Q11&lt;1.79,SUM(Q11:R11), SUM('P102'!$Q11:$S11))</f>
        <v>7.85</v>
      </c>
      <c r="U11" s="56">
        <f>('P102'!$L11+'P102'!$P11+'P102'!$T11)*'P102'!$F11</f>
        <v>27.19319767</v>
      </c>
      <c r="V11" s="57">
        <v>4.15</v>
      </c>
      <c r="W11" s="150">
        <v>8.1</v>
      </c>
      <c r="X11" s="58">
        <f>SUM('P102'!$V11:$W11)*'P102'!$G11</f>
        <v>14.14508159</v>
      </c>
      <c r="Y11" s="140">
        <v>1.5</v>
      </c>
      <c r="Z11" s="140">
        <v>1.5</v>
      </c>
      <c r="AA11" s="140">
        <v>1.25</v>
      </c>
      <c r="AB11" s="60" t="str">
        <f>IF(SUM('P102'!$Y11:$AA11)&gt;5.9,"SI","NO")</f>
        <v>NO</v>
      </c>
      <c r="AC11" s="61">
        <f>SUM('P102'!$Y11:$AA11)</f>
        <v>4.25</v>
      </c>
      <c r="AD11" s="62">
        <v>1.0</v>
      </c>
      <c r="AE11" s="62">
        <v>6.0</v>
      </c>
      <c r="AF11" s="63" t="str">
        <f>IF('P102'!$AG11&gt;5.9,"SI","NO")</f>
        <v>SI</v>
      </c>
      <c r="AG11" s="64">
        <f>SUM('P102'!$AD11:$AE11)</f>
        <v>7</v>
      </c>
      <c r="AH11" s="65">
        <v>4.0</v>
      </c>
      <c r="AI11" s="65">
        <v>3.5</v>
      </c>
      <c r="AJ11" s="66">
        <f>AVERAGE('P102'!$AH11:$AI11)*'P102'!$H11</f>
        <v>4.330127018</v>
      </c>
      <c r="AK11" s="142">
        <v>0.0</v>
      </c>
      <c r="AL11" s="143">
        <v>0.0</v>
      </c>
      <c r="AM11" s="144">
        <v>0.0</v>
      </c>
      <c r="AN11" s="46">
        <f>(1*('P102'!$AL11+'P102'!$AM11))*'P102'!$AK11</f>
        <v>0</v>
      </c>
      <c r="AO11" s="70">
        <v>9.25</v>
      </c>
      <c r="AP11" s="71">
        <f>SUM('P102'!$U11)</f>
        <v>27.19319767</v>
      </c>
      <c r="AQ11" s="134">
        <f>SUM(AN11,AJ11,AG11,AC11,X11,('P102'!$AO11)*H11)</f>
        <v>40.40618858</v>
      </c>
      <c r="AR11" s="151">
        <f>'P102'!$AP11+'P102'!$AQ11</f>
        <v>67.59938625</v>
      </c>
    </row>
    <row r="12" ht="14.25" customHeight="1">
      <c r="A12" s="137" t="s">
        <v>181</v>
      </c>
      <c r="B12" s="136">
        <v>2.02407235E8</v>
      </c>
      <c r="C12" s="137" t="s">
        <v>182</v>
      </c>
      <c r="D12" s="138">
        <v>6.0</v>
      </c>
      <c r="E12" s="49"/>
      <c r="F12" s="139">
        <v>1.12436539</v>
      </c>
      <c r="G12" s="139">
        <v>1.226488281</v>
      </c>
      <c r="H12" s="139">
        <v>1.154700538</v>
      </c>
      <c r="I12" s="52">
        <v>2.25</v>
      </c>
      <c r="J12" s="53">
        <v>2.0</v>
      </c>
      <c r="K12" s="54">
        <v>4.2</v>
      </c>
      <c r="L12" s="55">
        <f>IF(I12&lt;1.79,SUM(I12:J12), SUM('P102'!$Q12:$S12))</f>
        <v>8.25</v>
      </c>
      <c r="M12" s="52">
        <v>2.25</v>
      </c>
      <c r="N12" s="53">
        <v>2.0</v>
      </c>
      <c r="O12" s="54">
        <v>4.0</v>
      </c>
      <c r="P12" s="55">
        <f>IF(M12&lt;1.79,SUM(M12:N12), SUM('P102'!$Q12:$S12))</f>
        <v>8.25</v>
      </c>
      <c r="Q12" s="53">
        <v>2.25</v>
      </c>
      <c r="R12" s="53">
        <v>2.0</v>
      </c>
      <c r="S12" s="53">
        <v>4.0</v>
      </c>
      <c r="T12" s="55">
        <f>IF(Q12&lt;1.79,SUM(Q12:R12), SUM('P102'!$Q12:$S12))</f>
        <v>8.25</v>
      </c>
      <c r="U12" s="56">
        <f>('P102'!$L12+'P102'!$P12+'P102'!$T12)*'P102'!$F12</f>
        <v>27.8280434</v>
      </c>
      <c r="V12" s="57">
        <v>4.3</v>
      </c>
      <c r="W12" s="57">
        <v>8.0</v>
      </c>
      <c r="X12" s="58">
        <f>SUM('P102'!$V12:$W12)*'P102'!$G12</f>
        <v>15.08580586</v>
      </c>
      <c r="Y12" s="140">
        <v>1.5</v>
      </c>
      <c r="Z12" s="140">
        <v>0.0</v>
      </c>
      <c r="AA12" s="140">
        <v>1.25</v>
      </c>
      <c r="AB12" s="60" t="str">
        <f>IF(SUM('P102'!$Y12:$AA12)&gt;5.9,"SI","NO")</f>
        <v>NO</v>
      </c>
      <c r="AC12" s="61">
        <f>SUM('P102'!$Y12:$AA12)</f>
        <v>2.75</v>
      </c>
      <c r="AD12" s="62">
        <v>1.0</v>
      </c>
      <c r="AE12" s="62">
        <v>2.0</v>
      </c>
      <c r="AF12" s="63" t="str">
        <f>IF('P102'!$AG12&gt;5.9,"SI","NO")</f>
        <v>NO</v>
      </c>
      <c r="AG12" s="64">
        <f>SUM('P102'!$AD12:$AE12)</f>
        <v>3</v>
      </c>
      <c r="AH12" s="141">
        <f>IF('P102'!$AF12="NO",0," ")</f>
        <v>0</v>
      </c>
      <c r="AI12" s="141">
        <f>IF('P102'!$AF12="NO",0," ")</f>
        <v>0</v>
      </c>
      <c r="AJ12" s="66">
        <f>AVERAGE('P102'!$AH12:$AI12)*'P102'!$H12</f>
        <v>0</v>
      </c>
      <c r="AK12" s="142">
        <v>0.0</v>
      </c>
      <c r="AL12" s="143">
        <v>0.0</v>
      </c>
      <c r="AM12" s="144">
        <v>0.0</v>
      </c>
      <c r="AN12" s="46">
        <f>(1*('P102'!$AL12+'P102'!$AM12))*'P102'!$AK12</f>
        <v>0</v>
      </c>
      <c r="AO12" s="70">
        <v>7.25</v>
      </c>
      <c r="AP12" s="71">
        <f>SUM('P102'!$U12)</f>
        <v>27.8280434</v>
      </c>
      <c r="AQ12" s="134">
        <f>SUM(AN12,AJ12,AG12,AC12,X12,('P102'!$AO12)*H12)</f>
        <v>29.20738476</v>
      </c>
      <c r="AR12" s="72">
        <f>'P102'!$AP12+'P102'!$AQ12</f>
        <v>57.03542816</v>
      </c>
    </row>
    <row r="13" ht="14.25" customHeight="1">
      <c r="A13" s="145" t="s">
        <v>183</v>
      </c>
      <c r="B13" s="146">
        <v>2.02416608E8</v>
      </c>
      <c r="C13" s="145" t="s">
        <v>184</v>
      </c>
      <c r="D13" s="147">
        <v>8.0</v>
      </c>
      <c r="E13" s="49"/>
      <c r="F13" s="139">
        <v>0.5</v>
      </c>
      <c r="G13" s="139">
        <v>0.0</v>
      </c>
      <c r="H13" s="139">
        <v>0.0</v>
      </c>
      <c r="I13" s="52">
        <v>3.0</v>
      </c>
      <c r="J13" s="53">
        <v>2.0</v>
      </c>
      <c r="K13" s="54">
        <v>0.0</v>
      </c>
      <c r="L13" s="55">
        <f>IF(I13&lt;1.79,SUM(I13:J13), SUM('P102'!$Q13:$S13))</f>
        <v>3</v>
      </c>
      <c r="M13" s="52">
        <v>3.0</v>
      </c>
      <c r="N13" s="53">
        <v>0.0</v>
      </c>
      <c r="O13" s="54">
        <v>0.0</v>
      </c>
      <c r="P13" s="55">
        <f>IF(M13&lt;1.79,SUM(M13:N13), SUM('P102'!$Q13:$S13))</f>
        <v>3</v>
      </c>
      <c r="Q13" s="52">
        <v>3.0</v>
      </c>
      <c r="R13" s="53">
        <v>0.0</v>
      </c>
      <c r="S13" s="54">
        <v>0.0</v>
      </c>
      <c r="T13" s="55">
        <f>IF(Q13&lt;1.79,SUM(Q13:R13), SUM('P102'!$Q13:$S13))</f>
        <v>3</v>
      </c>
      <c r="U13" s="56">
        <f>('P102'!$L13+'P102'!$P13+'P102'!$T13)*'P102'!$F13</f>
        <v>4.5</v>
      </c>
      <c r="V13" s="57">
        <v>3.8</v>
      </c>
      <c r="W13" s="57">
        <v>8.0</v>
      </c>
      <c r="X13" s="58">
        <f>SUM('P102'!$V13:$W13)*'P102'!$G13</f>
        <v>0</v>
      </c>
      <c r="Y13" s="140">
        <v>0.5</v>
      </c>
      <c r="Z13" s="148">
        <v>0.0</v>
      </c>
      <c r="AA13" s="140">
        <v>0.0</v>
      </c>
      <c r="AB13" s="60" t="str">
        <f>IF(SUM('P102'!$Y13:$AA13)&gt;5.9,"SI","NO")</f>
        <v>NO</v>
      </c>
      <c r="AC13" s="61">
        <f>SUM('P102'!$Y13:$AA13)</f>
        <v>0.5</v>
      </c>
      <c r="AD13" s="62">
        <v>1.0</v>
      </c>
      <c r="AE13" s="62">
        <v>0.0</v>
      </c>
      <c r="AF13" s="63" t="str">
        <f>IF('P102'!$AG13&gt;5.9,"SI","NO")</f>
        <v>NO</v>
      </c>
      <c r="AG13" s="64">
        <f>SUM('P102'!$AD13:$AE13)</f>
        <v>1</v>
      </c>
      <c r="AH13" s="141">
        <f>IF('P102'!$AF13="NO",0," ")</f>
        <v>0</v>
      </c>
      <c r="AI13" s="141">
        <f>IF('P102'!$AF13="NO",0," ")</f>
        <v>0</v>
      </c>
      <c r="AJ13" s="66">
        <f>AVERAGE('P102'!$AH13:$AI13)*'P102'!$H13</f>
        <v>0</v>
      </c>
      <c r="AK13" s="142">
        <v>0.0</v>
      </c>
      <c r="AL13" s="143">
        <v>0.0</v>
      </c>
      <c r="AM13" s="144">
        <v>0.0</v>
      </c>
      <c r="AN13" s="46">
        <f>(1*('P102'!$AL13+'P102'!$AM13))*'P102'!$AK13</f>
        <v>0</v>
      </c>
      <c r="AO13" s="70">
        <v>0.0</v>
      </c>
      <c r="AP13" s="71">
        <f>SUM('P102'!$U13)</f>
        <v>4.5</v>
      </c>
      <c r="AQ13" s="134">
        <f>SUM(AN13,AJ13,AG13,AC13,X13,('P102'!$AO13)*H13)</f>
        <v>1.5</v>
      </c>
      <c r="AR13" s="72">
        <f>'P102'!$AP13+'P102'!$AQ13</f>
        <v>6</v>
      </c>
    </row>
    <row r="14" ht="14.25" customHeight="1">
      <c r="A14" s="137" t="s">
        <v>185</v>
      </c>
      <c r="B14" s="136">
        <v>2.02207783E8</v>
      </c>
      <c r="C14" s="137" t="s">
        <v>186</v>
      </c>
      <c r="D14" s="138">
        <v>4.0</v>
      </c>
      <c r="E14" s="49"/>
      <c r="F14" s="139">
        <v>0.5</v>
      </c>
      <c r="G14" s="139">
        <v>0.5</v>
      </c>
      <c r="H14" s="139">
        <v>0.5</v>
      </c>
      <c r="I14" s="52">
        <v>2.25</v>
      </c>
      <c r="J14" s="53">
        <v>1.0</v>
      </c>
      <c r="K14" s="54">
        <v>4.5</v>
      </c>
      <c r="L14" s="55">
        <f>IF(I14&lt;1.79,SUM(I14:J14), SUM('P102'!$Q14:$S14))</f>
        <v>3.75</v>
      </c>
      <c r="M14" s="52">
        <v>2.25</v>
      </c>
      <c r="N14" s="53">
        <v>1.5</v>
      </c>
      <c r="O14" s="54">
        <v>0.0</v>
      </c>
      <c r="P14" s="55">
        <f>IF(M14&lt;1.79,SUM(M14:N14), SUM('P102'!$Q14:$S14))</f>
        <v>3.75</v>
      </c>
      <c r="Q14" s="52">
        <v>2.25</v>
      </c>
      <c r="R14" s="53">
        <v>1.5</v>
      </c>
      <c r="S14" s="54">
        <v>0.0</v>
      </c>
      <c r="T14" s="55">
        <f>IF(Q14&lt;1.79,SUM(Q14:R14), SUM('P102'!$Q14:$S14))</f>
        <v>3.75</v>
      </c>
      <c r="U14" s="56">
        <f>('P102'!$L14+'P102'!$P14+'P102'!$T14)*'P102'!$F14</f>
        <v>5.625</v>
      </c>
      <c r="V14" s="57">
        <v>2.6</v>
      </c>
      <c r="W14" s="57">
        <v>6.42</v>
      </c>
      <c r="X14" s="58">
        <f>SUM('P102'!$V14:$W14)*'P102'!$G14</f>
        <v>4.51</v>
      </c>
      <c r="Y14" s="148">
        <v>0.0</v>
      </c>
      <c r="Z14" s="140">
        <v>1.5</v>
      </c>
      <c r="AA14" s="140">
        <v>1.25</v>
      </c>
      <c r="AB14" s="60" t="str">
        <f>IF(SUM('P102'!$Y14:$AA14)&gt;5.9,"SI","NO")</f>
        <v>NO</v>
      </c>
      <c r="AC14" s="61">
        <f>SUM('P102'!$Y14:$AA14)</f>
        <v>2.75</v>
      </c>
      <c r="AD14" s="62">
        <v>1.0</v>
      </c>
      <c r="AE14" s="62">
        <v>4.0</v>
      </c>
      <c r="AF14" s="63" t="str">
        <f>IF('P102'!$AG14&gt;5.9,"SI","NO")</f>
        <v>NO</v>
      </c>
      <c r="AG14" s="64">
        <f>SUM('P102'!$AD14:$AE14)</f>
        <v>5</v>
      </c>
      <c r="AH14" s="141">
        <f>IF('P102'!$AF14="NO",0," ")</f>
        <v>0</v>
      </c>
      <c r="AI14" s="141">
        <f>IF('P102'!$AF14="NO",0," ")</f>
        <v>0</v>
      </c>
      <c r="AJ14" s="66">
        <f>AVERAGE('P102'!$AH14:$AI14)*'P102'!$H14</f>
        <v>0</v>
      </c>
      <c r="AK14" s="142">
        <v>0.0</v>
      </c>
      <c r="AL14" s="143">
        <v>0.0</v>
      </c>
      <c r="AM14" s="144">
        <v>0.0</v>
      </c>
      <c r="AN14" s="46">
        <f>(1*('P102'!$AL14+'P102'!$AM14))*'P102'!$AK14</f>
        <v>0</v>
      </c>
      <c r="AO14" s="70">
        <v>7.0</v>
      </c>
      <c r="AP14" s="71">
        <f>SUM('P102'!$U14)</f>
        <v>5.625</v>
      </c>
      <c r="AQ14" s="134">
        <f>SUM(AN14,AJ14,AG14,AC14,X14,('P102'!$AO14)*H14)</f>
        <v>15.76</v>
      </c>
      <c r="AR14" s="72">
        <f>'P102'!$AP14+'P102'!$AQ14</f>
        <v>21.385</v>
      </c>
    </row>
    <row r="15" ht="14.25" customHeight="1">
      <c r="A15" s="145" t="s">
        <v>187</v>
      </c>
      <c r="B15" s="146">
        <v>2.02509097E8</v>
      </c>
      <c r="C15" s="145" t="s">
        <v>188</v>
      </c>
      <c r="D15" s="147">
        <v>7.0</v>
      </c>
      <c r="E15" s="49"/>
      <c r="F15" s="139">
        <v>0.983738754</v>
      </c>
      <c r="G15" s="139">
        <v>1.029310232</v>
      </c>
      <c r="H15" s="139">
        <v>0.5</v>
      </c>
      <c r="I15" s="52">
        <v>3.0</v>
      </c>
      <c r="J15" s="53">
        <v>2.0</v>
      </c>
      <c r="K15" s="54">
        <v>4.3</v>
      </c>
      <c r="L15" s="55">
        <f>IF(I15&lt;1.79,SUM(I15:J15), SUM('P102'!$Q15:$S15))</f>
        <v>8.45</v>
      </c>
      <c r="M15" s="52">
        <v>3.0</v>
      </c>
      <c r="N15" s="53">
        <v>1.75</v>
      </c>
      <c r="O15" s="54">
        <v>3.7</v>
      </c>
      <c r="P15" s="55">
        <f>IF(M15&lt;1.79,SUM(M15:N15), SUM('P102'!$Q15:$S15))</f>
        <v>8.45</v>
      </c>
      <c r="Q15" s="52">
        <v>3.0</v>
      </c>
      <c r="R15" s="53">
        <v>1.75</v>
      </c>
      <c r="S15" s="54">
        <v>3.7</v>
      </c>
      <c r="T15" s="55">
        <f>IF(Q15&lt;1.79,SUM(Q15:R15), SUM('P102'!$Q15:$S15))</f>
        <v>8.45</v>
      </c>
      <c r="U15" s="56">
        <f>('P102'!$L15+'P102'!$P15+'P102'!$T15)*'P102'!$F15</f>
        <v>24.93777741</v>
      </c>
      <c r="V15" s="57">
        <v>3.55</v>
      </c>
      <c r="W15" s="57">
        <v>7.0</v>
      </c>
      <c r="X15" s="58">
        <f>SUM('P102'!$V15:$W15)*'P102'!$G15</f>
        <v>10.85922295</v>
      </c>
      <c r="Y15" s="140">
        <v>2.0</v>
      </c>
      <c r="Z15" s="140">
        <v>1.5</v>
      </c>
      <c r="AA15" s="140">
        <v>1.25</v>
      </c>
      <c r="AB15" s="60" t="str">
        <f>IF(SUM('P102'!$Y15:$AA15)&gt;5.9,"SI","NO")</f>
        <v>NO</v>
      </c>
      <c r="AC15" s="61">
        <f>SUM('P102'!$Y15:$AA15)</f>
        <v>4.75</v>
      </c>
      <c r="AD15" s="62">
        <v>0.0</v>
      </c>
      <c r="AE15" s="62">
        <v>4.0</v>
      </c>
      <c r="AF15" s="63" t="str">
        <f>IF('P102'!$AG15&gt;5.9,"SI","NO")</f>
        <v>NO</v>
      </c>
      <c r="AG15" s="64">
        <f>SUM('P102'!$AD15:$AE15)</f>
        <v>4</v>
      </c>
      <c r="AH15" s="141">
        <f>IF('P102'!$AF15="NO",0," ")</f>
        <v>0</v>
      </c>
      <c r="AI15" s="141">
        <f>IF('P102'!$AF15="NO",0," ")</f>
        <v>0</v>
      </c>
      <c r="AJ15" s="66">
        <f>AVERAGE('P102'!$AH15:$AI15)*'P102'!$H15</f>
        <v>0</v>
      </c>
      <c r="AK15" s="142">
        <v>0.0</v>
      </c>
      <c r="AL15" s="143">
        <v>0.0</v>
      </c>
      <c r="AM15" s="144">
        <v>0.0</v>
      </c>
      <c r="AN15" s="46">
        <f>(1*('P102'!$AL15+'P102'!$AM15))*'P102'!$AK15</f>
        <v>0</v>
      </c>
      <c r="AO15" s="70">
        <v>7.25</v>
      </c>
      <c r="AP15" s="71">
        <f>SUM('P102'!$U15)</f>
        <v>24.93777741</v>
      </c>
      <c r="AQ15" s="134">
        <f>SUM(AN15,AJ15,AG15,AC15,X15,('P102'!$AO15)*H15)</f>
        <v>23.23422295</v>
      </c>
      <c r="AR15" s="72">
        <f>'P102'!$AP15+'P102'!$AQ15</f>
        <v>48.17200036</v>
      </c>
    </row>
    <row r="16" ht="14.25" customHeight="1">
      <c r="A16" s="137" t="s">
        <v>189</v>
      </c>
      <c r="B16" s="136">
        <v>2.02410247E8</v>
      </c>
      <c r="C16" s="137" t="s">
        <v>190</v>
      </c>
      <c r="D16" s="138">
        <v>4.0</v>
      </c>
      <c r="E16" s="49"/>
      <c r="F16" s="139">
        <v>0.5</v>
      </c>
      <c r="G16" s="139">
        <v>0.5</v>
      </c>
      <c r="H16" s="139">
        <v>0.5</v>
      </c>
      <c r="I16" s="52">
        <v>2.25</v>
      </c>
      <c r="J16" s="53">
        <v>1.0</v>
      </c>
      <c r="K16" s="54">
        <v>4.5</v>
      </c>
      <c r="L16" s="55">
        <f>IF(I16&lt;1.79,SUM(I16:J16), SUM('P102'!$Q16:$S16))</f>
        <v>3.75</v>
      </c>
      <c r="M16" s="52">
        <v>2.25</v>
      </c>
      <c r="N16" s="53">
        <v>1.5</v>
      </c>
      <c r="O16" s="54">
        <v>0.0</v>
      </c>
      <c r="P16" s="55">
        <f>IF(M16&lt;1.79,SUM(M16:N16), SUM('P102'!$Q16:$S16))</f>
        <v>3.75</v>
      </c>
      <c r="Q16" s="52">
        <v>2.25</v>
      </c>
      <c r="R16" s="53">
        <v>1.5</v>
      </c>
      <c r="S16" s="54">
        <v>0.0</v>
      </c>
      <c r="T16" s="55">
        <f>IF(Q16&lt;1.79,SUM(Q16:R16), SUM('P102'!$Q16:$S16))</f>
        <v>3.75</v>
      </c>
      <c r="U16" s="56">
        <f>('P102'!$L16+'P102'!$P16+'P102'!$T16)*'P102'!$F16</f>
        <v>5.625</v>
      </c>
      <c r="V16" s="57">
        <v>2.6</v>
      </c>
      <c r="W16" s="57">
        <v>6.43</v>
      </c>
      <c r="X16" s="58">
        <f>SUM('P102'!$V16:$W16)*'P102'!$G16</f>
        <v>4.515</v>
      </c>
      <c r="Y16" s="140">
        <v>1.0</v>
      </c>
      <c r="Z16" s="140">
        <v>1.5</v>
      </c>
      <c r="AA16" s="148">
        <v>0.0</v>
      </c>
      <c r="AB16" s="60" t="str">
        <f>IF(SUM('P102'!$Y16:$AA16)&gt;5.9,"SI","NO")</f>
        <v>NO</v>
      </c>
      <c r="AC16" s="61">
        <f>SUM('P102'!$Y16:$AA16)</f>
        <v>2.5</v>
      </c>
      <c r="AD16" s="62">
        <v>1.0</v>
      </c>
      <c r="AE16" s="62">
        <v>4.0</v>
      </c>
      <c r="AF16" s="63" t="str">
        <f>IF('P102'!$AG16&gt;5.9,"SI","NO")</f>
        <v>NO</v>
      </c>
      <c r="AG16" s="64">
        <f>SUM('P102'!$AD16:$AE16)</f>
        <v>5</v>
      </c>
      <c r="AH16" s="141">
        <f>IF('P102'!$AF16="NO",0," ")</f>
        <v>0</v>
      </c>
      <c r="AI16" s="141">
        <f>IF('P102'!$AF16="NO",0," ")</f>
        <v>0</v>
      </c>
      <c r="AJ16" s="66">
        <f>AVERAGE('P102'!$AH16:$AI16)*'P102'!$H16</f>
        <v>0</v>
      </c>
      <c r="AK16" s="142">
        <v>0.0</v>
      </c>
      <c r="AL16" s="143">
        <v>0.0</v>
      </c>
      <c r="AM16" s="144">
        <v>0.0</v>
      </c>
      <c r="AN16" s="46">
        <f>(1*('P102'!$AL16+'P102'!$AM16))*'P102'!$AK16</f>
        <v>0</v>
      </c>
      <c r="AO16" s="70">
        <v>0.0</v>
      </c>
      <c r="AP16" s="71">
        <f>SUM('P102'!$U16)</f>
        <v>5.625</v>
      </c>
      <c r="AQ16" s="134">
        <f>SUM(AN16,AJ16,AG16,AC16,X16,('P102'!$AO16)*H16)</f>
        <v>12.015</v>
      </c>
      <c r="AR16" s="72">
        <f>'P102'!$AP16+'P102'!$AQ16</f>
        <v>17.64</v>
      </c>
    </row>
    <row r="17" ht="14.25" customHeight="1">
      <c r="A17" s="145" t="s">
        <v>191</v>
      </c>
      <c r="B17" s="146">
        <v>2.02505954E8</v>
      </c>
      <c r="C17" s="145" t="s">
        <v>192</v>
      </c>
      <c r="D17" s="147">
        <v>5.0</v>
      </c>
      <c r="E17" s="49"/>
      <c r="F17" s="139">
        <v>0.5</v>
      </c>
      <c r="G17" s="139">
        <v>0.5</v>
      </c>
      <c r="H17" s="139">
        <v>0.5</v>
      </c>
      <c r="I17" s="52">
        <v>2.25</v>
      </c>
      <c r="J17" s="53">
        <v>2.0</v>
      </c>
      <c r="K17" s="54">
        <v>3.5</v>
      </c>
      <c r="L17" s="55">
        <f>IF(I17&lt;1.79,SUM(I17:J17), SUM('P102'!$Q17:$S17))</f>
        <v>7.45</v>
      </c>
      <c r="M17" s="52">
        <v>2.25</v>
      </c>
      <c r="N17" s="53">
        <v>1.5</v>
      </c>
      <c r="O17" s="54">
        <v>3.7</v>
      </c>
      <c r="P17" s="55">
        <f>IF(M17&lt;1.79,SUM(M17:N17), SUM('P102'!$Q17:$S17))</f>
        <v>7.45</v>
      </c>
      <c r="Q17" s="52">
        <v>2.25</v>
      </c>
      <c r="R17" s="53">
        <v>1.5</v>
      </c>
      <c r="S17" s="54">
        <v>3.7</v>
      </c>
      <c r="T17" s="55">
        <f>IF(Q17&lt;1.79,SUM(Q17:R17), SUM('P102'!$Q17:$S17))</f>
        <v>7.45</v>
      </c>
      <c r="U17" s="56">
        <f>('P102'!$L17+'P102'!$P17+'P102'!$T17)*'P102'!$F17</f>
        <v>11.175</v>
      </c>
      <c r="V17" s="57">
        <v>2.85</v>
      </c>
      <c r="W17" s="57">
        <v>6.6</v>
      </c>
      <c r="X17" s="58">
        <f>SUM('P102'!$V17:$W17)*'P102'!$G17</f>
        <v>4.725</v>
      </c>
      <c r="Y17" s="140">
        <v>1.5</v>
      </c>
      <c r="Z17" s="140">
        <v>1.5</v>
      </c>
      <c r="AA17" s="140">
        <v>0.0</v>
      </c>
      <c r="AB17" s="60" t="str">
        <f>IF(SUM('P102'!$Y17:$AA17)&gt;5.9,"SI","NO")</f>
        <v>NO</v>
      </c>
      <c r="AC17" s="61">
        <f>SUM('P102'!$Y17:$AA17)</f>
        <v>3</v>
      </c>
      <c r="AD17" s="62">
        <v>0.0</v>
      </c>
      <c r="AE17" s="62">
        <v>2.0</v>
      </c>
      <c r="AF17" s="63" t="str">
        <f>IF('P102'!$AG17&gt;5.9,"SI","NO")</f>
        <v>NO</v>
      </c>
      <c r="AG17" s="64">
        <f>SUM('P102'!$AD17:$AE17)</f>
        <v>2</v>
      </c>
      <c r="AH17" s="141">
        <f>IF('P102'!$AF17="NO",0," ")</f>
        <v>0</v>
      </c>
      <c r="AI17" s="141">
        <f>IF('P102'!$AF17="NO",0," ")</f>
        <v>0</v>
      </c>
      <c r="AJ17" s="66">
        <f>AVERAGE('P102'!$AH17:$AI17)*'P102'!$H17</f>
        <v>0</v>
      </c>
      <c r="AK17" s="142">
        <v>0.0</v>
      </c>
      <c r="AL17" s="143">
        <v>0.0</v>
      </c>
      <c r="AM17" s="144">
        <v>0.0</v>
      </c>
      <c r="AN17" s="46">
        <f>(1*('P102'!$AL17+'P102'!$AM17))*'P102'!$AK17</f>
        <v>0</v>
      </c>
      <c r="AO17" s="70">
        <v>7.25</v>
      </c>
      <c r="AP17" s="71">
        <f>SUM('P102'!$U17)</f>
        <v>11.175</v>
      </c>
      <c r="AQ17" s="134">
        <f>SUM(AN17,AJ17,AG17,AC17,X17,('P102'!$AO17)*H17)</f>
        <v>13.35</v>
      </c>
      <c r="AR17" s="72">
        <f>'P102'!$AP17+'P102'!$AQ17</f>
        <v>24.525</v>
      </c>
    </row>
    <row r="18" ht="14.25" customHeight="1">
      <c r="A18" s="137" t="s">
        <v>193</v>
      </c>
      <c r="B18" s="136">
        <v>2.02205944E8</v>
      </c>
      <c r="C18" s="137" t="s">
        <v>194</v>
      </c>
      <c r="D18" s="138">
        <v>3.0</v>
      </c>
      <c r="E18" s="49"/>
      <c r="F18" s="139">
        <v>1.154700538</v>
      </c>
      <c r="G18" s="139">
        <v>1.154700538</v>
      </c>
      <c r="H18" s="139">
        <v>1.154700538</v>
      </c>
      <c r="I18" s="52">
        <v>2.25</v>
      </c>
      <c r="J18" s="53">
        <v>1.25</v>
      </c>
      <c r="K18" s="54">
        <v>4.75</v>
      </c>
      <c r="L18" s="55">
        <f>IF(I18&lt;1.79,SUM(I18:J18), SUM('P102'!$Q18:$S18))</f>
        <v>8.6</v>
      </c>
      <c r="M18" s="52">
        <v>3.0</v>
      </c>
      <c r="N18" s="53">
        <v>2.0</v>
      </c>
      <c r="O18" s="54">
        <v>3.6</v>
      </c>
      <c r="P18" s="55">
        <f>IF(M18&lt;1.79,SUM(M18:N18), SUM('P102'!$Q18:$S18))</f>
        <v>8.6</v>
      </c>
      <c r="Q18" s="52">
        <v>3.0</v>
      </c>
      <c r="R18" s="53">
        <v>2.0</v>
      </c>
      <c r="S18" s="54">
        <v>3.6</v>
      </c>
      <c r="T18" s="55">
        <f>IF(Q18&lt;1.79,SUM(Q18:R18), SUM('P102'!$Q18:$S18))</f>
        <v>8.6</v>
      </c>
      <c r="U18" s="56">
        <f>('P102'!$L18+'P102'!$P18+'P102'!$T18)*'P102'!$F18</f>
        <v>29.79127388</v>
      </c>
      <c r="V18" s="57">
        <v>4.15</v>
      </c>
      <c r="W18" s="150">
        <v>8.1</v>
      </c>
      <c r="X18" s="58">
        <f>SUM('P102'!$V18:$W18)*'P102'!$G18</f>
        <v>14.14508159</v>
      </c>
      <c r="Y18" s="140">
        <v>2.0</v>
      </c>
      <c r="Z18" s="140">
        <v>1.5</v>
      </c>
      <c r="AA18" s="140">
        <v>2.5</v>
      </c>
      <c r="AB18" s="60" t="str">
        <f>IF(SUM('P102'!$Y18:$AA18)&gt;5.9,"SI","NO")</f>
        <v>SI</v>
      </c>
      <c r="AC18" s="61">
        <f>SUM('P102'!$Y18:$AA18)</f>
        <v>6</v>
      </c>
      <c r="AD18" s="62">
        <v>1.0</v>
      </c>
      <c r="AE18" s="62">
        <v>6.0</v>
      </c>
      <c r="AF18" s="63" t="str">
        <f>IF('P102'!$AG18&gt;5.9,"SI","NO")</f>
        <v>SI</v>
      </c>
      <c r="AG18" s="64">
        <f>SUM('P102'!$AD18:$AE18)</f>
        <v>7</v>
      </c>
      <c r="AH18" s="65">
        <v>4.0</v>
      </c>
      <c r="AI18" s="65">
        <v>3.5</v>
      </c>
      <c r="AJ18" s="66">
        <f>AVERAGE('P102'!$AH18:$AI18)*'P102'!$H18</f>
        <v>4.330127018</v>
      </c>
      <c r="AK18" s="142">
        <v>1.0</v>
      </c>
      <c r="AL18" s="143">
        <v>7.0</v>
      </c>
      <c r="AM18" s="144">
        <v>7.0</v>
      </c>
      <c r="AN18" s="46">
        <f>(1*('P102'!$AL18+'P102'!$AM18))*'P102'!$AK18</f>
        <v>14</v>
      </c>
      <c r="AO18" s="70">
        <v>9.25</v>
      </c>
      <c r="AP18" s="71">
        <f>SUM('P102'!$U18)</f>
        <v>29.79127388</v>
      </c>
      <c r="AQ18" s="134">
        <f>SUM(AN18,AJ18,AG18,AC18,X18,('P102'!$AO18)*H18)</f>
        <v>56.15618858</v>
      </c>
      <c r="AR18" s="151">
        <f>'P102'!$AP18+'P102'!$AQ18</f>
        <v>85.94746246</v>
      </c>
    </row>
    <row r="19" ht="14.25" customHeight="1">
      <c r="A19" s="145" t="s">
        <v>195</v>
      </c>
      <c r="B19" s="146">
        <v>2.02405767E8</v>
      </c>
      <c r="C19" s="145" t="s">
        <v>196</v>
      </c>
      <c r="D19" s="147">
        <v>7.0</v>
      </c>
      <c r="E19" s="49"/>
      <c r="F19" s="139">
        <v>0.5</v>
      </c>
      <c r="G19" s="139">
        <v>1.056050016</v>
      </c>
      <c r="H19" s="139">
        <v>0.5</v>
      </c>
      <c r="I19" s="52">
        <v>2.25</v>
      </c>
      <c r="J19" s="53">
        <v>2.0</v>
      </c>
      <c r="K19" s="54">
        <v>4.3</v>
      </c>
      <c r="L19" s="55">
        <f>IF(I19&lt;1.79,SUM(I19:J19), SUM('P102'!$Q19:$S19))</f>
        <v>4</v>
      </c>
      <c r="M19" s="52">
        <v>2.25</v>
      </c>
      <c r="N19" s="53">
        <v>1.75</v>
      </c>
      <c r="O19" s="54">
        <v>0.0</v>
      </c>
      <c r="P19" s="55">
        <f>IF(M19&lt;1.79,SUM(M19:N19), SUM('P102'!$Q19:$S19))</f>
        <v>4</v>
      </c>
      <c r="Q19" s="52">
        <v>2.25</v>
      </c>
      <c r="R19" s="53">
        <v>1.75</v>
      </c>
      <c r="S19" s="54">
        <v>0.0</v>
      </c>
      <c r="T19" s="55">
        <f>IF(Q19&lt;1.79,SUM(Q19:R19), SUM('P102'!$Q19:$S19))</f>
        <v>4</v>
      </c>
      <c r="U19" s="56">
        <f>('P102'!$L19+'P102'!$P19+'P102'!$T19)*'P102'!$F19</f>
        <v>6</v>
      </c>
      <c r="V19" s="57">
        <v>3.55</v>
      </c>
      <c r="W19" s="57">
        <v>7.0</v>
      </c>
      <c r="X19" s="58">
        <f>SUM('P102'!$V19:$W19)*'P102'!$G19</f>
        <v>11.14132767</v>
      </c>
      <c r="Y19" s="140">
        <v>1.5</v>
      </c>
      <c r="Z19" s="140">
        <v>0.0</v>
      </c>
      <c r="AA19" s="140">
        <v>0.0</v>
      </c>
      <c r="AB19" s="60" t="str">
        <f>IF(SUM('P102'!$Y19:$AA19)&gt;5.9,"SI","NO")</f>
        <v>NO</v>
      </c>
      <c r="AC19" s="61">
        <f>SUM('P102'!$Y19:$AA19)</f>
        <v>1.5</v>
      </c>
      <c r="AD19" s="62">
        <v>0.0</v>
      </c>
      <c r="AE19" s="62">
        <v>4.0</v>
      </c>
      <c r="AF19" s="63" t="str">
        <f>IF('P102'!$AG19&gt;5.9,"SI","NO")</f>
        <v>NO</v>
      </c>
      <c r="AG19" s="64">
        <f>SUM('P102'!$AD19:$AE19)</f>
        <v>4</v>
      </c>
      <c r="AH19" s="141">
        <f>IF('P102'!$AF19="NO",0," ")</f>
        <v>0</v>
      </c>
      <c r="AI19" s="141">
        <f>IF('P102'!$AF19="NO",0," ")</f>
        <v>0</v>
      </c>
      <c r="AJ19" s="66">
        <f>AVERAGE('P102'!$AH19:$AI19)*'P102'!$H19</f>
        <v>0</v>
      </c>
      <c r="AK19" s="142">
        <v>0.0</v>
      </c>
      <c r="AL19" s="143">
        <v>0.0</v>
      </c>
      <c r="AM19" s="144">
        <v>0.0</v>
      </c>
      <c r="AN19" s="46">
        <f>(1*('P102'!$AL19+'P102'!$AM19))*'P102'!$AK19</f>
        <v>0</v>
      </c>
      <c r="AO19" s="70">
        <v>7.25</v>
      </c>
      <c r="AP19" s="71">
        <f>SUM('P102'!$U19)</f>
        <v>6</v>
      </c>
      <c r="AQ19" s="134">
        <f>SUM(AN19,AJ19,AG19,AC19,X19,('P102'!$AO19)*H19)</f>
        <v>20.26632767</v>
      </c>
      <c r="AR19" s="72">
        <f>'P102'!$AP19+'P102'!$AQ19</f>
        <v>26.26632767</v>
      </c>
    </row>
    <row r="20" ht="14.25" customHeight="1">
      <c r="A20" s="137" t="s">
        <v>197</v>
      </c>
      <c r="B20" s="136">
        <v>2.02205852E8</v>
      </c>
      <c r="C20" s="137" t="s">
        <v>198</v>
      </c>
      <c r="D20" s="138">
        <v>2.0</v>
      </c>
      <c r="E20" s="49"/>
      <c r="F20" s="139">
        <v>1.25</v>
      </c>
      <c r="G20" s="139">
        <v>1.23733898</v>
      </c>
      <c r="H20" s="139">
        <v>0.5</v>
      </c>
      <c r="I20" s="52">
        <v>2.25</v>
      </c>
      <c r="J20" s="53">
        <v>1.0</v>
      </c>
      <c r="K20" s="54">
        <v>3.25</v>
      </c>
      <c r="L20" s="55">
        <f>IF(I20&lt;1.79,SUM(I20:J20), SUM('P102'!$Q20:$S20))</f>
        <v>7.35</v>
      </c>
      <c r="M20" s="52">
        <v>2.25</v>
      </c>
      <c r="N20" s="53">
        <v>1.5</v>
      </c>
      <c r="O20" s="54">
        <v>3.6</v>
      </c>
      <c r="P20" s="55">
        <f>IF(M20&lt;1.79,SUM(M20:N20), SUM('P102'!$Q20:$S20))</f>
        <v>7.35</v>
      </c>
      <c r="Q20" s="52">
        <v>2.25</v>
      </c>
      <c r="R20" s="53">
        <v>1.5</v>
      </c>
      <c r="S20" s="54">
        <v>3.6</v>
      </c>
      <c r="T20" s="55">
        <f>IF(Q20&lt;1.79,SUM(Q20:R20), SUM('P102'!$Q20:$S20))</f>
        <v>7.35</v>
      </c>
      <c r="U20" s="56">
        <f>('P102'!$L20+'P102'!$P20+'P102'!$T20)*'P102'!$F20</f>
        <v>27.5625</v>
      </c>
      <c r="V20" s="57">
        <v>3.65</v>
      </c>
      <c r="W20" s="57">
        <v>3.5</v>
      </c>
      <c r="X20" s="58">
        <f>SUM('P102'!$V20:$W20)*'P102'!$G20</f>
        <v>8.846973707</v>
      </c>
      <c r="Y20" s="140">
        <v>1.0</v>
      </c>
      <c r="Z20" s="140">
        <v>1.5</v>
      </c>
      <c r="AA20" s="140">
        <v>0.0</v>
      </c>
      <c r="AB20" s="60" t="str">
        <f>IF(SUM('P102'!$Y20:$AA20)&gt;5.9,"SI","NO")</f>
        <v>NO</v>
      </c>
      <c r="AC20" s="61">
        <f>SUM('P102'!$Y20:$AA20)</f>
        <v>2.5</v>
      </c>
      <c r="AD20" s="62">
        <v>1.0</v>
      </c>
      <c r="AE20" s="62">
        <v>1.0</v>
      </c>
      <c r="AF20" s="63" t="str">
        <f>IF('P102'!$AG20&gt;5.9,"SI","NO")</f>
        <v>NO</v>
      </c>
      <c r="AG20" s="64">
        <f>SUM('P102'!$AD20:$AE20)</f>
        <v>2</v>
      </c>
      <c r="AH20" s="141">
        <f>IF('P102'!$AF20="NO",0," ")</f>
        <v>0</v>
      </c>
      <c r="AI20" s="141">
        <f>IF('P102'!$AF20="NO",0," ")</f>
        <v>0</v>
      </c>
      <c r="AJ20" s="66">
        <f>AVERAGE('P102'!$AH20:$AI20)*'P102'!$H20</f>
        <v>0</v>
      </c>
      <c r="AK20" s="142">
        <v>0.0</v>
      </c>
      <c r="AL20" s="143">
        <v>0.0</v>
      </c>
      <c r="AM20" s="144">
        <v>0.0</v>
      </c>
      <c r="AN20" s="46">
        <f>(1*('P102'!$AL20+'P102'!$AM20))*'P102'!$AK20</f>
        <v>0</v>
      </c>
      <c r="AO20" s="70">
        <v>7.25</v>
      </c>
      <c r="AP20" s="71">
        <f>SUM('P102'!$U20)</f>
        <v>27.5625</v>
      </c>
      <c r="AQ20" s="134">
        <f>SUM(AN20,AJ20,AG20,AC20,X20,('P102'!$AO20)*H20)</f>
        <v>16.97197371</v>
      </c>
      <c r="AR20" s="72">
        <f>'P102'!$AP20+'P102'!$AQ20</f>
        <v>44.53447371</v>
      </c>
    </row>
    <row r="21" ht="14.25" customHeight="1">
      <c r="A21" s="145" t="s">
        <v>199</v>
      </c>
      <c r="B21" s="146">
        <v>2.02313565E8</v>
      </c>
      <c r="C21" s="145" t="s">
        <v>200</v>
      </c>
      <c r="D21" s="147">
        <v>5.0</v>
      </c>
      <c r="E21" s="49"/>
      <c r="F21" s="139">
        <v>1.013220593</v>
      </c>
      <c r="G21" s="139">
        <v>0.984731928</v>
      </c>
      <c r="H21" s="139">
        <v>0.5</v>
      </c>
      <c r="I21" s="52">
        <v>3.0</v>
      </c>
      <c r="J21" s="53">
        <v>2.0</v>
      </c>
      <c r="K21" s="54">
        <v>0.0</v>
      </c>
      <c r="L21" s="55">
        <f>IF(I21&lt;1.79,SUM(I21:J21), SUM('P102'!$Q21:$S21))</f>
        <v>4.5</v>
      </c>
      <c r="M21" s="52">
        <v>3.0</v>
      </c>
      <c r="N21" s="53">
        <v>1.5</v>
      </c>
      <c r="O21" s="54">
        <v>0.0</v>
      </c>
      <c r="P21" s="55">
        <f>IF(M21&lt;1.79,SUM(M21:N21), SUM('P102'!$Q21:$S21))</f>
        <v>4.5</v>
      </c>
      <c r="Q21" s="52">
        <v>3.0</v>
      </c>
      <c r="R21" s="53">
        <v>1.5</v>
      </c>
      <c r="S21" s="54">
        <v>0.0</v>
      </c>
      <c r="T21" s="55">
        <f>IF(Q21&lt;1.79,SUM(Q21:R21), SUM('P102'!$Q21:$S21))</f>
        <v>4.5</v>
      </c>
      <c r="U21" s="56">
        <f>('P102'!$L21+'P102'!$P21+'P102'!$T21)*'P102'!$F21</f>
        <v>13.67847801</v>
      </c>
      <c r="V21" s="57">
        <v>2.85</v>
      </c>
      <c r="W21" s="57">
        <v>6.6</v>
      </c>
      <c r="X21" s="58">
        <f>SUM('P102'!$V21:$W21)*'P102'!$G21</f>
        <v>9.30571672</v>
      </c>
      <c r="Y21" s="140">
        <v>1.0</v>
      </c>
      <c r="Z21" s="140">
        <v>1.5</v>
      </c>
      <c r="AA21" s="140">
        <v>1.25</v>
      </c>
      <c r="AB21" s="60" t="str">
        <f>IF(SUM('P102'!$Y21:$AA21)&gt;5.9,"SI","NO")</f>
        <v>NO</v>
      </c>
      <c r="AC21" s="61">
        <f>SUM('P102'!$Y21:$AA21)</f>
        <v>3.75</v>
      </c>
      <c r="AD21" s="62">
        <v>0.0</v>
      </c>
      <c r="AE21" s="62">
        <v>2.0</v>
      </c>
      <c r="AF21" s="63" t="str">
        <f>IF('P102'!$AG21&gt;5.9,"SI","NO")</f>
        <v>NO</v>
      </c>
      <c r="AG21" s="64">
        <f>SUM('P102'!$AD21:$AE21)</f>
        <v>2</v>
      </c>
      <c r="AH21" s="141">
        <f>IF('P102'!$AF21="NO",0," ")</f>
        <v>0</v>
      </c>
      <c r="AI21" s="141">
        <f>IF('P102'!$AF21="NO",0," ")</f>
        <v>0</v>
      </c>
      <c r="AJ21" s="66">
        <f>AVERAGE('P102'!$AH21:$AI21)*'P102'!$H21</f>
        <v>0</v>
      </c>
      <c r="AK21" s="142">
        <v>0.0</v>
      </c>
      <c r="AL21" s="143">
        <v>0.0</v>
      </c>
      <c r="AM21" s="144">
        <v>0.0</v>
      </c>
      <c r="AN21" s="46">
        <f>(1*('P102'!$AL21+'P102'!$AM21))*'P102'!$AK21</f>
        <v>0</v>
      </c>
      <c r="AO21" s="70">
        <v>7.25</v>
      </c>
      <c r="AP21" s="71">
        <f>SUM('P102'!$U21)</f>
        <v>13.67847801</v>
      </c>
      <c r="AQ21" s="134">
        <f>SUM(AN21,AJ21,AG21,AC21,X21,('P102'!$AO21)*H21)</f>
        <v>18.68071672</v>
      </c>
      <c r="AR21" s="72">
        <f>'P102'!$AP21+'P102'!$AQ21</f>
        <v>32.35919473</v>
      </c>
    </row>
    <row r="22" ht="14.25" customHeight="1">
      <c r="A22" s="137" t="s">
        <v>201</v>
      </c>
      <c r="B22" s="136">
        <v>2.0241466E8</v>
      </c>
      <c r="C22" s="137" t="s">
        <v>202</v>
      </c>
      <c r="D22" s="138">
        <v>6.0</v>
      </c>
      <c r="E22" s="49"/>
      <c r="F22" s="139">
        <v>1.217161239</v>
      </c>
      <c r="G22" s="139">
        <v>1.240347346</v>
      </c>
      <c r="H22" s="139">
        <v>0.5</v>
      </c>
      <c r="I22" s="52">
        <v>3.0</v>
      </c>
      <c r="J22" s="53">
        <v>2.0</v>
      </c>
      <c r="K22" s="54">
        <v>4.2</v>
      </c>
      <c r="L22" s="55">
        <f>IF(I22&lt;1.79,SUM(I22:J22), SUM('P102'!$Q22:$S22))</f>
        <v>9</v>
      </c>
      <c r="M22" s="52">
        <v>3.0</v>
      </c>
      <c r="N22" s="53">
        <v>2.0</v>
      </c>
      <c r="O22" s="54">
        <v>4.0</v>
      </c>
      <c r="P22" s="55">
        <f>IF(M22&lt;1.79,SUM(M22:N22), SUM('P102'!$Q22:$S22))</f>
        <v>9</v>
      </c>
      <c r="Q22" s="52">
        <v>3.0</v>
      </c>
      <c r="R22" s="53">
        <v>2.0</v>
      </c>
      <c r="S22" s="54">
        <v>4.0</v>
      </c>
      <c r="T22" s="55">
        <f>IF(Q22&lt;1.79,SUM(Q22:R22), SUM('P102'!$Q22:$S22))</f>
        <v>9</v>
      </c>
      <c r="U22" s="56">
        <f>('P102'!$L22+'P102'!$P22+'P102'!$T22)*'P102'!$F22</f>
        <v>32.86335345</v>
      </c>
      <c r="V22" s="57">
        <v>4.3</v>
      </c>
      <c r="W22" s="57">
        <v>8.0</v>
      </c>
      <c r="X22" s="58">
        <f>SUM('P102'!$V22:$W22)*'P102'!$G22</f>
        <v>15.25627236</v>
      </c>
      <c r="Y22" s="140">
        <v>1.5</v>
      </c>
      <c r="Z22" s="140">
        <v>0.0</v>
      </c>
      <c r="AA22" s="140">
        <v>1.25</v>
      </c>
      <c r="AB22" s="60" t="str">
        <f>IF(SUM('P102'!$Y22:$AA22)&gt;5.9,"SI","NO")</f>
        <v>NO</v>
      </c>
      <c r="AC22" s="61">
        <f>SUM('P102'!$Y22:$AA22)</f>
        <v>2.75</v>
      </c>
      <c r="AD22" s="62">
        <v>1.0</v>
      </c>
      <c r="AE22" s="62">
        <v>2.0</v>
      </c>
      <c r="AF22" s="63" t="str">
        <f>IF('P102'!$AG22&gt;5.9,"SI","NO")</f>
        <v>NO</v>
      </c>
      <c r="AG22" s="64">
        <f>SUM('P102'!$AD22:$AE22)</f>
        <v>3</v>
      </c>
      <c r="AH22" s="141">
        <f>IF('P102'!$AF22="NO",0," ")</f>
        <v>0</v>
      </c>
      <c r="AI22" s="141">
        <f>IF('P102'!$AF22="NO",0," ")</f>
        <v>0</v>
      </c>
      <c r="AJ22" s="66">
        <f>AVERAGE('P102'!$AH22:$AI22)*'P102'!$H22</f>
        <v>0</v>
      </c>
      <c r="AK22" s="142">
        <v>0.0</v>
      </c>
      <c r="AL22" s="143">
        <v>0.0</v>
      </c>
      <c r="AM22" s="144">
        <v>0.0</v>
      </c>
      <c r="AN22" s="46">
        <f>(1*('P102'!$AL22+'P102'!$AM22))*'P102'!$AK22</f>
        <v>0</v>
      </c>
      <c r="AO22" s="70">
        <v>7.25</v>
      </c>
      <c r="AP22" s="71">
        <f>SUM('P102'!$U22)</f>
        <v>32.86335345</v>
      </c>
      <c r="AQ22" s="134">
        <f>SUM(AN22,AJ22,AG22,AC22,X22,('P102'!$AO22)*H22)</f>
        <v>24.63127236</v>
      </c>
      <c r="AR22" s="72">
        <f>'P102'!$AP22+'P102'!$AQ22</f>
        <v>57.49462581</v>
      </c>
    </row>
    <row r="23" ht="14.25" customHeight="1">
      <c r="A23" s="145" t="s">
        <v>203</v>
      </c>
      <c r="B23" s="146">
        <v>2.02304093E8</v>
      </c>
      <c r="C23" s="145" t="s">
        <v>204</v>
      </c>
      <c r="D23" s="147">
        <v>1.0</v>
      </c>
      <c r="E23" s="49"/>
      <c r="F23" s="139">
        <v>1.008438968</v>
      </c>
      <c r="G23" s="139">
        <v>1.046124997</v>
      </c>
      <c r="H23" s="139">
        <v>0.5</v>
      </c>
      <c r="I23" s="52">
        <v>3.0</v>
      </c>
      <c r="J23" s="53">
        <v>0.0</v>
      </c>
      <c r="K23" s="54">
        <v>3.55</v>
      </c>
      <c r="L23" s="55">
        <f>IF(I23&lt;1.79,SUM(I23:J23), SUM('P102'!$Q23:$S23))</f>
        <v>6.6</v>
      </c>
      <c r="M23" s="52">
        <v>3.0</v>
      </c>
      <c r="N23" s="53">
        <v>0.0</v>
      </c>
      <c r="O23" s="54">
        <v>3.6</v>
      </c>
      <c r="P23" s="55">
        <f>IF(M23&lt;1.79,SUM(M23:N23), SUM('P102'!$Q23:$S23))</f>
        <v>6.6</v>
      </c>
      <c r="Q23" s="52">
        <v>3.0</v>
      </c>
      <c r="R23" s="53">
        <v>0.0</v>
      </c>
      <c r="S23" s="54">
        <v>3.6</v>
      </c>
      <c r="T23" s="55">
        <f>IF(Q23&lt;1.79,SUM(Q23:R23), SUM('P102'!$Q23:$S23))</f>
        <v>6.6</v>
      </c>
      <c r="U23" s="56">
        <f>('P102'!$L23+'P102'!$P23+'P102'!$T23)*'P102'!$F23</f>
        <v>19.96709157</v>
      </c>
      <c r="V23" s="57">
        <v>2.8</v>
      </c>
      <c r="W23" s="57">
        <v>6.7</v>
      </c>
      <c r="X23" s="58">
        <f>SUM('P102'!$V23:$W23)*'P102'!$G23</f>
        <v>9.938187472</v>
      </c>
      <c r="Y23" s="140">
        <v>1.5</v>
      </c>
      <c r="Z23" s="140">
        <v>1.5</v>
      </c>
      <c r="AA23" s="140">
        <v>2.5</v>
      </c>
      <c r="AB23" s="60" t="str">
        <f>IF(SUM('P102'!$Y23:$AA23)&gt;5.9,"SI","NO")</f>
        <v>NO</v>
      </c>
      <c r="AC23" s="61">
        <f>SUM('P102'!$Y23:$AA23)</f>
        <v>5.5</v>
      </c>
      <c r="AD23" s="62">
        <v>1.0</v>
      </c>
      <c r="AE23" s="62">
        <v>3.0</v>
      </c>
      <c r="AF23" s="63" t="str">
        <f>IF('P102'!$AG23&gt;5.9,"SI","NO")</f>
        <v>NO</v>
      </c>
      <c r="AG23" s="64">
        <f>SUM('P102'!$AD23:$AE23)</f>
        <v>4</v>
      </c>
      <c r="AH23" s="141">
        <f>IF('P102'!$AF23="NO",0," ")</f>
        <v>0</v>
      </c>
      <c r="AI23" s="65">
        <v>1.0</v>
      </c>
      <c r="AJ23" s="66">
        <f>AVERAGE('P102'!$AH23:$AI23)*'P102'!$H23</f>
        <v>0.25</v>
      </c>
      <c r="AK23" s="142">
        <v>0.0</v>
      </c>
      <c r="AL23" s="143">
        <v>0.0</v>
      </c>
      <c r="AM23" s="144">
        <v>0.0</v>
      </c>
      <c r="AN23" s="46">
        <f>(1*('P102'!$AL23+'P102'!$AM23))*'P102'!$AK23</f>
        <v>0</v>
      </c>
      <c r="AO23" s="70">
        <v>7.0</v>
      </c>
      <c r="AP23" s="71">
        <f>SUM('P102'!$U23)</f>
        <v>19.96709157</v>
      </c>
      <c r="AQ23" s="134">
        <f>SUM(AN23,AJ23,AG23,AC23,X23,('P102'!$AO23)*H23)</f>
        <v>23.18818747</v>
      </c>
      <c r="AR23" s="72">
        <f>'P102'!$AP23+'P102'!$AQ23</f>
        <v>43.15527904</v>
      </c>
    </row>
    <row r="24" ht="14.25" customHeight="1">
      <c r="A24" s="137" t="s">
        <v>205</v>
      </c>
      <c r="B24" s="136">
        <v>2.0230401E8</v>
      </c>
      <c r="C24" s="137" t="s">
        <v>206</v>
      </c>
      <c r="D24" s="138">
        <v>7.0</v>
      </c>
      <c r="E24" s="49"/>
      <c r="F24" s="139">
        <v>0.87988269</v>
      </c>
      <c r="G24" s="139">
        <v>0.806571522</v>
      </c>
      <c r="H24" s="139">
        <v>0.5</v>
      </c>
      <c r="I24" s="52">
        <v>3.0</v>
      </c>
      <c r="J24" s="53">
        <v>2.0</v>
      </c>
      <c r="K24" s="54">
        <v>4.3</v>
      </c>
      <c r="L24" s="55">
        <f>IF(I24&lt;1.79,SUM(I24:J24), SUM('P102'!$Q24:$S24))</f>
        <v>8.45</v>
      </c>
      <c r="M24" s="52">
        <v>3.0</v>
      </c>
      <c r="N24" s="53">
        <v>1.75</v>
      </c>
      <c r="O24" s="54">
        <v>3.7</v>
      </c>
      <c r="P24" s="55">
        <f>IF(M24&lt;1.79,SUM(M24:N24), SUM('P102'!$Q24:$S24))</f>
        <v>8.45</v>
      </c>
      <c r="Q24" s="52">
        <v>3.0</v>
      </c>
      <c r="R24" s="53">
        <v>1.75</v>
      </c>
      <c r="S24" s="54">
        <v>3.7</v>
      </c>
      <c r="T24" s="55">
        <f>IF(Q24&lt;1.79,SUM(Q24:R24), SUM('P102'!$Q24:$S24))</f>
        <v>8.45</v>
      </c>
      <c r="U24" s="56">
        <f>('P102'!$L24+'P102'!$P24+'P102'!$T24)*'P102'!$F24</f>
        <v>22.30502619</v>
      </c>
      <c r="V24" s="57">
        <v>3.55</v>
      </c>
      <c r="W24" s="57">
        <v>7.0</v>
      </c>
      <c r="X24" s="58">
        <f>SUM('P102'!$V24:$W24)*'P102'!$G24</f>
        <v>8.509329557</v>
      </c>
      <c r="Y24" s="140">
        <v>2.0</v>
      </c>
      <c r="Z24" s="140">
        <v>3.0</v>
      </c>
      <c r="AA24" s="140">
        <v>3.75</v>
      </c>
      <c r="AB24" s="60" t="str">
        <f>IF(SUM('P102'!$Y24:$AA24)&gt;5.9,"SI","NO")</f>
        <v>SI</v>
      </c>
      <c r="AC24" s="61">
        <f>SUM('P102'!$Y24:$AA24)</f>
        <v>8.75</v>
      </c>
      <c r="AD24" s="62">
        <v>0.0</v>
      </c>
      <c r="AE24" s="62">
        <v>4.0</v>
      </c>
      <c r="AF24" s="63" t="str">
        <f>IF('P102'!$AG24&gt;5.9,"SI","NO")</f>
        <v>NO</v>
      </c>
      <c r="AG24" s="64">
        <f>SUM('P102'!$AD24:$AE24)</f>
        <v>4</v>
      </c>
      <c r="AH24" s="141">
        <f>IF('P102'!$AF24="NO",0," ")</f>
        <v>0</v>
      </c>
      <c r="AI24" s="141">
        <f>IF('P102'!$AF24="NO",0," ")</f>
        <v>0</v>
      </c>
      <c r="AJ24" s="66">
        <f>AVERAGE('P102'!$AH24:$AI24)*'P102'!$H24</f>
        <v>0</v>
      </c>
      <c r="AK24" s="142">
        <v>0.0</v>
      </c>
      <c r="AL24" s="143">
        <v>0.0</v>
      </c>
      <c r="AM24" s="144">
        <v>0.0</v>
      </c>
      <c r="AN24" s="46">
        <f>(1*('P102'!$AL24+'P102'!$AM24))*'P102'!$AK24</f>
        <v>0</v>
      </c>
      <c r="AO24" s="70">
        <v>7.25</v>
      </c>
      <c r="AP24" s="71">
        <f>SUM('P102'!$U24)</f>
        <v>22.30502619</v>
      </c>
      <c r="AQ24" s="134">
        <f>SUM(AN24,AJ24,AG24,AC24,X24,('P102'!$AO24)*H24)</f>
        <v>24.88432956</v>
      </c>
      <c r="AR24" s="72">
        <f>'P102'!$AP24+'P102'!$AQ24</f>
        <v>47.18935575</v>
      </c>
    </row>
    <row r="25" ht="14.25" customHeight="1">
      <c r="A25" s="145" t="s">
        <v>207</v>
      </c>
      <c r="B25" s="146">
        <v>2.02508891E8</v>
      </c>
      <c r="C25" s="145" t="s">
        <v>208</v>
      </c>
      <c r="D25" s="147">
        <v>5.0</v>
      </c>
      <c r="E25" s="49"/>
      <c r="F25" s="139">
        <v>0.5</v>
      </c>
      <c r="G25" s="139">
        <v>0.952647315</v>
      </c>
      <c r="H25" s="139">
        <v>0.5</v>
      </c>
      <c r="I25" s="52">
        <v>2.25</v>
      </c>
      <c r="J25" s="53">
        <v>2.0</v>
      </c>
      <c r="K25" s="54">
        <v>3.5</v>
      </c>
      <c r="L25" s="55">
        <f>IF(I25&lt;1.79,SUM(I25:J25), SUM('P102'!$Q25:$S25))</f>
        <v>7.45</v>
      </c>
      <c r="M25" s="52">
        <v>2.25</v>
      </c>
      <c r="N25" s="53">
        <v>1.5</v>
      </c>
      <c r="O25" s="54">
        <v>3.7</v>
      </c>
      <c r="P25" s="55">
        <f>IF(M25&lt;1.79,SUM(M25:N25), SUM('P102'!$Q25:$S25))</f>
        <v>7.45</v>
      </c>
      <c r="Q25" s="52">
        <v>2.25</v>
      </c>
      <c r="R25" s="53">
        <v>1.5</v>
      </c>
      <c r="S25" s="54">
        <v>3.7</v>
      </c>
      <c r="T25" s="55">
        <f>IF(Q25&lt;1.79,SUM(Q25:R25), SUM('P102'!$Q25:$S25))</f>
        <v>7.45</v>
      </c>
      <c r="U25" s="56">
        <f>('P102'!$L25+'P102'!$P25+'P102'!$T25)*'P102'!$F25</f>
        <v>11.175</v>
      </c>
      <c r="V25" s="57">
        <v>2.85</v>
      </c>
      <c r="W25" s="150">
        <v>6.6</v>
      </c>
      <c r="X25" s="58">
        <f>SUM('P102'!$V25:$W25)*'P102'!$G25</f>
        <v>9.002517127</v>
      </c>
      <c r="Y25" s="140">
        <v>0.5</v>
      </c>
      <c r="Z25" s="140">
        <v>1.5</v>
      </c>
      <c r="AA25" s="140">
        <v>0.0</v>
      </c>
      <c r="AB25" s="60" t="str">
        <f>IF(SUM('P102'!$Y25:$AA25)&gt;5.9,"SI","NO")</f>
        <v>NO</v>
      </c>
      <c r="AC25" s="61">
        <f>SUM('P102'!$Y25:$AA25)</f>
        <v>2</v>
      </c>
      <c r="AD25" s="62">
        <v>0.0</v>
      </c>
      <c r="AE25" s="62">
        <v>2.0</v>
      </c>
      <c r="AF25" s="63" t="str">
        <f>IF('P102'!$AG25&gt;5.9,"SI","NO")</f>
        <v>NO</v>
      </c>
      <c r="AG25" s="64">
        <f>SUM('P102'!$AD25:$AE25)</f>
        <v>2</v>
      </c>
      <c r="AH25" s="141">
        <f>IF('P102'!$AF25="NO",0," ")</f>
        <v>0</v>
      </c>
      <c r="AI25" s="141">
        <f>IF('P102'!$AF25="NO",0," ")</f>
        <v>0</v>
      </c>
      <c r="AJ25" s="66">
        <f>AVERAGE('P102'!$AH25:$AI25)*'P102'!$H25</f>
        <v>0</v>
      </c>
      <c r="AK25" s="142">
        <v>0.0</v>
      </c>
      <c r="AL25" s="143">
        <v>0.0</v>
      </c>
      <c r="AM25" s="144">
        <v>0.0</v>
      </c>
      <c r="AN25" s="46">
        <f>(1*('P102'!$AL25+'P102'!$AM25))*'P102'!$AK25</f>
        <v>0</v>
      </c>
      <c r="AO25" s="70">
        <v>7.25</v>
      </c>
      <c r="AP25" s="71">
        <f>SUM('P102'!$U25)</f>
        <v>11.175</v>
      </c>
      <c r="AQ25" s="134">
        <f>SUM(AN25,AJ25,AG25,AC25,X25,('P102'!$AO25)*H25)</f>
        <v>16.62751713</v>
      </c>
      <c r="AR25" s="72">
        <f>'P102'!$AP25+'P102'!$AQ25</f>
        <v>27.80251713</v>
      </c>
    </row>
    <row r="26" ht="14.25" customHeight="1">
      <c r="A26" s="137" t="s">
        <v>209</v>
      </c>
      <c r="B26" s="136">
        <v>2.02410015E8</v>
      </c>
      <c r="C26" s="137" t="s">
        <v>210</v>
      </c>
      <c r="D26" s="138">
        <v>1.0</v>
      </c>
      <c r="E26" s="49"/>
      <c r="F26" s="139">
        <v>1.061088116</v>
      </c>
      <c r="G26" s="139">
        <v>1.060423497</v>
      </c>
      <c r="H26" s="139">
        <v>1.057771771</v>
      </c>
      <c r="I26" s="52">
        <v>1.5</v>
      </c>
      <c r="J26" s="53">
        <v>0.0</v>
      </c>
      <c r="K26" s="54">
        <v>3.55</v>
      </c>
      <c r="L26" s="55">
        <f>IF(I26&lt;1.79,SUM(I26:J26), SUM('P102'!$Q26:$S26))</f>
        <v>1.5</v>
      </c>
      <c r="M26" s="52">
        <v>1.5</v>
      </c>
      <c r="N26" s="53">
        <v>0.0</v>
      </c>
      <c r="O26" s="54">
        <v>3.6</v>
      </c>
      <c r="P26" s="55">
        <f>IF(M26&lt;1.79,SUM(M26:N26), SUM('P102'!$Q26:$S26))</f>
        <v>1.5</v>
      </c>
      <c r="Q26" s="52">
        <v>1.5</v>
      </c>
      <c r="R26" s="53">
        <v>0.0</v>
      </c>
      <c r="S26" s="54">
        <v>3.6</v>
      </c>
      <c r="T26" s="55">
        <f>IF(Q26&lt;1.79,SUM(Q26:R26), SUM('P102'!$Q26:$S26))</f>
        <v>1.5</v>
      </c>
      <c r="U26" s="56">
        <f>('P102'!$L26+'P102'!$P26+'P102'!$T26)*'P102'!$F26</f>
        <v>4.774896522</v>
      </c>
      <c r="V26" s="57">
        <v>2.8</v>
      </c>
      <c r="W26" s="57">
        <v>6.7</v>
      </c>
      <c r="X26" s="58">
        <f>SUM('P102'!$V26:$W26)*'P102'!$G26</f>
        <v>10.07402322</v>
      </c>
      <c r="Y26" s="140">
        <v>1.0</v>
      </c>
      <c r="Z26" s="140">
        <v>3.0</v>
      </c>
      <c r="AA26" s="140">
        <v>1.25</v>
      </c>
      <c r="AB26" s="60" t="str">
        <f>IF(SUM('P102'!$Y26:$AA26)&gt;5.9,"SI","NO")</f>
        <v>NO</v>
      </c>
      <c r="AC26" s="61">
        <f>SUM('P102'!$Y26:$AA26)</f>
        <v>5.25</v>
      </c>
      <c r="AD26" s="62">
        <v>1.0</v>
      </c>
      <c r="AE26" s="62">
        <v>3.0</v>
      </c>
      <c r="AF26" s="63" t="str">
        <f>IF('P102'!$AG26&gt;5.9,"SI","NO")</f>
        <v>NO</v>
      </c>
      <c r="AG26" s="64">
        <f>SUM('P102'!$AD26:$AE26)</f>
        <v>4</v>
      </c>
      <c r="AH26" s="141">
        <f>IF('P102'!$AF26="NO",0," ")</f>
        <v>0</v>
      </c>
      <c r="AI26" s="65">
        <v>1.0</v>
      </c>
      <c r="AJ26" s="66">
        <f>AVERAGE('P102'!$AH26:$AI26)*'P102'!$H26</f>
        <v>0.5288858855</v>
      </c>
      <c r="AK26" s="142">
        <v>0.0</v>
      </c>
      <c r="AL26" s="143">
        <v>0.0</v>
      </c>
      <c r="AM26" s="144">
        <v>0.0</v>
      </c>
      <c r="AN26" s="46">
        <f>(1*('P102'!$AL26+'P102'!$AM26))*'P102'!$AK26</f>
        <v>0</v>
      </c>
      <c r="AO26" s="70">
        <v>7.0</v>
      </c>
      <c r="AP26" s="71">
        <f>SUM('P102'!$U26)</f>
        <v>4.774896522</v>
      </c>
      <c r="AQ26" s="134">
        <f>SUM(AN26,AJ26,AG26,AC26,X26,('P102'!$AO26)*H26)</f>
        <v>27.2573115</v>
      </c>
      <c r="AR26" s="72">
        <f>'P102'!$AP26+'P102'!$AQ26</f>
        <v>32.03220803</v>
      </c>
    </row>
    <row r="27" ht="14.25" customHeight="1">
      <c r="A27" s="145" t="s">
        <v>211</v>
      </c>
      <c r="B27" s="146">
        <v>2.0241032E8</v>
      </c>
      <c r="C27" s="145" t="s">
        <v>212</v>
      </c>
      <c r="D27" s="147">
        <v>2.0</v>
      </c>
      <c r="E27" s="49"/>
      <c r="F27" s="139">
        <v>0.5</v>
      </c>
      <c r="G27" s="139">
        <v>1.298478537</v>
      </c>
      <c r="H27" s="139">
        <v>1.393466029</v>
      </c>
      <c r="I27" s="52">
        <v>3.0</v>
      </c>
      <c r="J27" s="53">
        <v>1.0</v>
      </c>
      <c r="K27" s="54">
        <v>3.25</v>
      </c>
      <c r="L27" s="55">
        <f>IF(I27&lt;1.79,SUM(I27:J27), SUM('P102'!$Q27:$S27))</f>
        <v>8.1</v>
      </c>
      <c r="M27" s="52">
        <v>3.0</v>
      </c>
      <c r="N27" s="53">
        <v>1.5</v>
      </c>
      <c r="O27" s="54">
        <v>3.6</v>
      </c>
      <c r="P27" s="55">
        <f>IF(M27&lt;1.79,SUM(M27:N27), SUM('P102'!$Q27:$S27))</f>
        <v>8.1</v>
      </c>
      <c r="Q27" s="52">
        <v>3.0</v>
      </c>
      <c r="R27" s="53">
        <v>1.5</v>
      </c>
      <c r="S27" s="54">
        <v>3.6</v>
      </c>
      <c r="T27" s="55">
        <f>IF(Q27&lt;1.79,SUM(Q27:R27), SUM('P102'!$Q27:$S27))</f>
        <v>8.1</v>
      </c>
      <c r="U27" s="56">
        <f>('P102'!$L27+'P102'!$P27+'P102'!$T27)*'P102'!$F27</f>
        <v>12.15</v>
      </c>
      <c r="V27" s="57">
        <v>3.65</v>
      </c>
      <c r="W27" s="57">
        <v>3.5</v>
      </c>
      <c r="X27" s="58">
        <f>SUM('P102'!$V27:$W27)*'P102'!$G27</f>
        <v>9.28412154</v>
      </c>
      <c r="Y27" s="140">
        <v>1.0</v>
      </c>
      <c r="Z27" s="140">
        <v>3.0</v>
      </c>
      <c r="AA27" s="140">
        <v>0.0</v>
      </c>
      <c r="AB27" s="60" t="str">
        <f>IF(SUM('P102'!$Y27:$AA27)&gt;5.9,"SI","NO")</f>
        <v>NO</v>
      </c>
      <c r="AC27" s="61">
        <f>SUM('P102'!$Y27:$AA27)</f>
        <v>4</v>
      </c>
      <c r="AD27" s="62">
        <v>1.0</v>
      </c>
      <c r="AE27" s="62">
        <v>1.0</v>
      </c>
      <c r="AF27" s="63" t="str">
        <f>IF('P102'!$AG27&gt;5.9,"SI","NO")</f>
        <v>NO</v>
      </c>
      <c r="AG27" s="64">
        <f>SUM('P102'!$AD27:$AE27)</f>
        <v>2</v>
      </c>
      <c r="AH27" s="141">
        <f>IF('P102'!$AF27="NO",0," ")</f>
        <v>0</v>
      </c>
      <c r="AI27" s="141">
        <f>IF('P102'!$AF27="NO",0," ")</f>
        <v>0</v>
      </c>
      <c r="AJ27" s="66">
        <f>AVERAGE('P102'!$AH27:$AI27)*'P102'!$H27</f>
        <v>0</v>
      </c>
      <c r="AK27" s="142">
        <v>0.0</v>
      </c>
      <c r="AL27" s="143">
        <v>0.0</v>
      </c>
      <c r="AM27" s="144">
        <v>0.0</v>
      </c>
      <c r="AN27" s="46">
        <f>(1*('P102'!$AL27+'P102'!$AM27))*'P102'!$AK27</f>
        <v>0</v>
      </c>
      <c r="AO27" s="70">
        <v>7.25</v>
      </c>
      <c r="AP27" s="71">
        <f>SUM('P102'!$U27)</f>
        <v>12.15</v>
      </c>
      <c r="AQ27" s="134">
        <f>SUM(AN27,AJ27,AG27,AC27,X27,('P102'!$AO27)*H27)</f>
        <v>25.38675025</v>
      </c>
      <c r="AR27" s="72">
        <f>'P102'!$AP27+'P102'!$AQ27</f>
        <v>37.53675025</v>
      </c>
    </row>
    <row r="28" ht="14.25" customHeight="1">
      <c r="A28" s="137" t="s">
        <v>213</v>
      </c>
      <c r="B28" s="136">
        <v>2.02410197E8</v>
      </c>
      <c r="C28" s="137" t="s">
        <v>214</v>
      </c>
      <c r="D28" s="138">
        <v>2.0</v>
      </c>
      <c r="E28" s="49"/>
      <c r="F28" s="139">
        <v>0.5</v>
      </c>
      <c r="G28" s="139">
        <v>0.5</v>
      </c>
      <c r="H28" s="139">
        <v>0.5</v>
      </c>
      <c r="I28" s="52">
        <v>3.0</v>
      </c>
      <c r="J28" s="53">
        <v>1.0</v>
      </c>
      <c r="K28" s="54">
        <v>3.25</v>
      </c>
      <c r="L28" s="55">
        <f>IF(I28&lt;1.79,SUM(I28:J28), SUM('P102'!$Q28:$S28))</f>
        <v>4.5</v>
      </c>
      <c r="M28" s="52">
        <v>3.0</v>
      </c>
      <c r="N28" s="53">
        <v>1.5</v>
      </c>
      <c r="O28" s="54">
        <v>0.0</v>
      </c>
      <c r="P28" s="55">
        <f>IF(M28&lt;1.79,SUM(M28:N28), SUM('P102'!$Q28:$S28))</f>
        <v>4.5</v>
      </c>
      <c r="Q28" s="52">
        <v>3.0</v>
      </c>
      <c r="R28" s="53">
        <v>1.5</v>
      </c>
      <c r="S28" s="54">
        <v>0.0</v>
      </c>
      <c r="T28" s="55">
        <f>IF(Q28&lt;1.79,SUM(Q28:R28), SUM('P102'!$Q28:$S28))</f>
        <v>4.5</v>
      </c>
      <c r="U28" s="56">
        <f>('P102'!$L28+'P102'!$P28+'P102'!$T28)*'P102'!$F28</f>
        <v>6.75</v>
      </c>
      <c r="V28" s="57">
        <v>3.65</v>
      </c>
      <c r="W28" s="57">
        <v>3.5</v>
      </c>
      <c r="X28" s="58">
        <f>SUM('P102'!$V28:$W28)*'P102'!$G28</f>
        <v>3.575</v>
      </c>
      <c r="Y28" s="140">
        <v>1.0</v>
      </c>
      <c r="Z28" s="148">
        <v>0.0</v>
      </c>
      <c r="AA28" s="148">
        <v>0.0</v>
      </c>
      <c r="AB28" s="60" t="str">
        <f>IF(SUM('P102'!$Y28:$AA28)&gt;5.9,"SI","NO")</f>
        <v>NO</v>
      </c>
      <c r="AC28" s="61">
        <f>SUM('P102'!$Y28:$AA28)</f>
        <v>1</v>
      </c>
      <c r="AD28" s="62">
        <v>1.0</v>
      </c>
      <c r="AE28" s="62">
        <v>1.0</v>
      </c>
      <c r="AF28" s="63" t="str">
        <f>IF('P102'!$AG28&gt;5.9,"SI","NO")</f>
        <v>NO</v>
      </c>
      <c r="AG28" s="64">
        <f>SUM('P102'!$AD28:$AE28)</f>
        <v>2</v>
      </c>
      <c r="AH28" s="141">
        <f>IF('P102'!$AF28="NO",0," ")</f>
        <v>0</v>
      </c>
      <c r="AI28" s="141">
        <f>IF('P102'!$AF28="NO",0," ")</f>
        <v>0</v>
      </c>
      <c r="AJ28" s="66">
        <f>AVERAGE('P102'!$AH28:$AI28)*'P102'!$H28</f>
        <v>0</v>
      </c>
      <c r="AK28" s="142">
        <v>0.0</v>
      </c>
      <c r="AL28" s="143">
        <v>0.0</v>
      </c>
      <c r="AM28" s="144">
        <v>0.0</v>
      </c>
      <c r="AN28" s="46">
        <f>(1*('P102'!$AL28+'P102'!$AM28))*'P102'!$AK28</f>
        <v>0</v>
      </c>
      <c r="AO28" s="70">
        <v>0.0</v>
      </c>
      <c r="AP28" s="71">
        <f>SUM('P102'!$U28)</f>
        <v>6.75</v>
      </c>
      <c r="AQ28" s="134">
        <f>SUM(AN28,AJ28,AG28,AC28,X28,('P102'!$AO28)*H28)</f>
        <v>6.575</v>
      </c>
      <c r="AR28" s="72">
        <f>'P102'!$AP28+'P102'!$AQ28</f>
        <v>13.325</v>
      </c>
    </row>
    <row r="29" ht="14.25" customHeight="1">
      <c r="A29" s="145" t="s">
        <v>215</v>
      </c>
      <c r="B29" s="146">
        <v>2.02401295E8</v>
      </c>
      <c r="C29" s="145" t="s">
        <v>216</v>
      </c>
      <c r="D29" s="147">
        <v>8.0</v>
      </c>
      <c r="E29" s="49"/>
      <c r="F29" s="139">
        <v>0.5</v>
      </c>
      <c r="G29" s="139">
        <v>0.0</v>
      </c>
      <c r="H29" s="139">
        <v>0.0</v>
      </c>
      <c r="I29" s="52">
        <v>2.25</v>
      </c>
      <c r="J29" s="53">
        <v>2.0</v>
      </c>
      <c r="K29" s="54">
        <v>3.8</v>
      </c>
      <c r="L29" s="55">
        <f>IF(I29&lt;1.79,SUM(I29:J29), SUM('P102'!$Q29:$S29))</f>
        <v>2.25</v>
      </c>
      <c r="M29" s="52">
        <v>2.25</v>
      </c>
      <c r="N29" s="53">
        <v>0.0</v>
      </c>
      <c r="O29" s="54">
        <v>0.0</v>
      </c>
      <c r="P29" s="55">
        <f>IF(M29&lt;1.79,SUM(M29:N29), SUM('P102'!$Q29:$S29))</f>
        <v>2.25</v>
      </c>
      <c r="Q29" s="52">
        <v>2.25</v>
      </c>
      <c r="R29" s="53">
        <v>0.0</v>
      </c>
      <c r="S29" s="54">
        <v>0.0</v>
      </c>
      <c r="T29" s="55">
        <f>IF(Q29&lt;1.79,SUM(Q29:R29), SUM('P102'!$Q29:$S29))</f>
        <v>2.25</v>
      </c>
      <c r="U29" s="56">
        <f>('P102'!$L29+'P102'!$P29+'P102'!$T29)*'P102'!$F29</f>
        <v>3.375</v>
      </c>
      <c r="V29" s="57">
        <v>3.8</v>
      </c>
      <c r="W29" s="57">
        <v>8.0</v>
      </c>
      <c r="X29" s="58">
        <f>SUM('P102'!$V29:$W29)*'P102'!$G29</f>
        <v>0</v>
      </c>
      <c r="Y29" s="140">
        <v>1.5</v>
      </c>
      <c r="Z29" s="148">
        <v>0.0</v>
      </c>
      <c r="AA29" s="148">
        <v>0.0</v>
      </c>
      <c r="AB29" s="60" t="str">
        <f>IF(SUM('P102'!$Y29:$AA29)&gt;5.9,"SI","NO")</f>
        <v>NO</v>
      </c>
      <c r="AC29" s="61">
        <f>SUM('P102'!$Y29:$AA29)</f>
        <v>1.5</v>
      </c>
      <c r="AD29" s="62">
        <v>1.0</v>
      </c>
      <c r="AE29" s="62">
        <v>0.0</v>
      </c>
      <c r="AF29" s="63" t="str">
        <f>IF('P102'!$AG29&gt;5.9,"SI","NO")</f>
        <v>NO</v>
      </c>
      <c r="AG29" s="64">
        <f>SUM('P102'!$AD29:$AE29)</f>
        <v>1</v>
      </c>
      <c r="AH29" s="141">
        <f>IF('P102'!$AF29="NO",0," ")</f>
        <v>0</v>
      </c>
      <c r="AI29" s="141">
        <f>IF('P102'!$AF29="NO",0," ")</f>
        <v>0</v>
      </c>
      <c r="AJ29" s="66">
        <f>AVERAGE('P102'!$AH29:$AI29)*'P102'!$H29</f>
        <v>0</v>
      </c>
      <c r="AK29" s="142">
        <v>0.0</v>
      </c>
      <c r="AL29" s="143">
        <v>0.0</v>
      </c>
      <c r="AM29" s="144">
        <v>0.0</v>
      </c>
      <c r="AN29" s="46">
        <f>(1*('P102'!$AL29+'P102'!$AM29))*'P102'!$AK29</f>
        <v>0</v>
      </c>
      <c r="AO29" s="70">
        <v>0.0</v>
      </c>
      <c r="AP29" s="71">
        <f>SUM('P102'!$U29)</f>
        <v>3.375</v>
      </c>
      <c r="AQ29" s="134">
        <f>SUM(AN29,AJ29,AG29,AC29,X29,('P102'!$AO29)*H29)</f>
        <v>2.5</v>
      </c>
      <c r="AR29" s="72">
        <f>'P102'!$AP29+'P102'!$AQ29</f>
        <v>5.875</v>
      </c>
    </row>
    <row r="30" ht="14.25" customHeight="1">
      <c r="A30" s="137" t="s">
        <v>217</v>
      </c>
      <c r="B30" s="136">
        <v>2.02505277E8</v>
      </c>
      <c r="C30" s="137" t="s">
        <v>218</v>
      </c>
      <c r="D30" s="138">
        <v>6.0</v>
      </c>
      <c r="E30" s="49"/>
      <c r="F30" s="139">
        <v>0.5</v>
      </c>
      <c r="G30" s="139">
        <v>0.5</v>
      </c>
      <c r="H30" s="139">
        <v>0.5</v>
      </c>
      <c r="I30" s="52">
        <v>3.0</v>
      </c>
      <c r="J30" s="53">
        <v>2.0</v>
      </c>
      <c r="K30" s="54">
        <v>4.2</v>
      </c>
      <c r="L30" s="55">
        <f>IF(I30&lt;1.79,SUM(I30:J30), SUM('P102'!$Q30:$S30))</f>
        <v>5</v>
      </c>
      <c r="M30" s="52">
        <v>3.0</v>
      </c>
      <c r="N30" s="53">
        <v>2.0</v>
      </c>
      <c r="O30" s="54">
        <v>0.0</v>
      </c>
      <c r="P30" s="55">
        <f>IF(M30&lt;1.79,SUM(M30:N30), SUM('P102'!$Q30:$S30))</f>
        <v>5</v>
      </c>
      <c r="Q30" s="52">
        <v>3.0</v>
      </c>
      <c r="R30" s="53">
        <v>2.0</v>
      </c>
      <c r="S30" s="54">
        <v>0.0</v>
      </c>
      <c r="T30" s="55">
        <f>IF(Q30&lt;1.79,SUM(Q30:R30), SUM('P102'!$Q30:$S30))</f>
        <v>5</v>
      </c>
      <c r="U30" s="56">
        <f>('P102'!$L30+'P102'!$P30+'P102'!$T30)*'P102'!$F30</f>
        <v>7.5</v>
      </c>
      <c r="V30" s="57">
        <v>4.3</v>
      </c>
      <c r="W30" s="57">
        <v>8.0</v>
      </c>
      <c r="X30" s="58">
        <f>SUM('P102'!$V30:$W30)*'P102'!$G30</f>
        <v>6.15</v>
      </c>
      <c r="Y30" s="140">
        <v>2.0</v>
      </c>
      <c r="Z30" s="148">
        <v>0.0</v>
      </c>
      <c r="AA30" s="148">
        <v>0.0</v>
      </c>
      <c r="AB30" s="60" t="str">
        <f>IF(SUM('P102'!$Y30:$AA30)&gt;5.9,"SI","NO")</f>
        <v>NO</v>
      </c>
      <c r="AC30" s="61">
        <f>SUM('P102'!$Y30:$AA30)</f>
        <v>2</v>
      </c>
      <c r="AD30" s="62">
        <v>1.0</v>
      </c>
      <c r="AE30" s="62">
        <v>2.0</v>
      </c>
      <c r="AF30" s="63" t="str">
        <f>IF('P102'!$AG30&gt;5.9,"SI","NO")</f>
        <v>NO</v>
      </c>
      <c r="AG30" s="64">
        <f>SUM('P102'!$AD30:$AE30)</f>
        <v>3</v>
      </c>
      <c r="AH30" s="141">
        <f>IF('P102'!$AF30="NO",0," ")</f>
        <v>0</v>
      </c>
      <c r="AI30" s="141">
        <f>IF('P102'!$AF30="NO",0," ")</f>
        <v>0</v>
      </c>
      <c r="AJ30" s="66">
        <f>AVERAGE('P102'!$AH30:$AI30)*'P102'!$H30</f>
        <v>0</v>
      </c>
      <c r="AK30" s="142">
        <v>0.0</v>
      </c>
      <c r="AL30" s="143">
        <v>0.0</v>
      </c>
      <c r="AM30" s="144">
        <v>0.0</v>
      </c>
      <c r="AN30" s="46">
        <f>(1*('P102'!$AL30+'P102'!$AM30))*'P102'!$AK30</f>
        <v>0</v>
      </c>
      <c r="AO30" s="70">
        <v>0.0</v>
      </c>
      <c r="AP30" s="71">
        <f>SUM('P102'!$U30)</f>
        <v>7.5</v>
      </c>
      <c r="AQ30" s="134">
        <f>SUM(AN30,AJ30,AG30,AC30,X30,('P102'!$AO30)*H30)</f>
        <v>11.15</v>
      </c>
      <c r="AR30" s="72">
        <f>'P102'!$AP30+'P102'!$AQ30</f>
        <v>18.65</v>
      </c>
    </row>
    <row r="31" ht="14.25" customHeight="1">
      <c r="A31" s="145" t="s">
        <v>219</v>
      </c>
      <c r="B31" s="146">
        <v>2.02213203E8</v>
      </c>
      <c r="C31" s="145" t="s">
        <v>220</v>
      </c>
      <c r="D31" s="147">
        <v>7.0</v>
      </c>
      <c r="E31" s="49"/>
      <c r="F31" s="139">
        <v>1.036951695</v>
      </c>
      <c r="G31" s="139">
        <v>1.056050016</v>
      </c>
      <c r="H31" s="139">
        <v>1.2</v>
      </c>
      <c r="I31" s="52">
        <v>2.25</v>
      </c>
      <c r="J31" s="53">
        <v>2.0</v>
      </c>
      <c r="K31" s="54">
        <v>4.3</v>
      </c>
      <c r="L31" s="55">
        <f>IF(I31&lt;1.79,SUM(I31:J31), SUM('P102'!$Q31:$S31))</f>
        <v>7.7</v>
      </c>
      <c r="M31" s="52">
        <v>2.25</v>
      </c>
      <c r="N31" s="53">
        <v>1.75</v>
      </c>
      <c r="O31" s="54">
        <v>3.7</v>
      </c>
      <c r="P31" s="55">
        <f>IF(M31&lt;1.79,SUM(M31:N31), SUM('P102'!$Q31:$S31))</f>
        <v>7.7</v>
      </c>
      <c r="Q31" s="52">
        <v>2.25</v>
      </c>
      <c r="R31" s="53">
        <v>1.75</v>
      </c>
      <c r="S31" s="54">
        <v>3.7</v>
      </c>
      <c r="T31" s="55">
        <f>IF(Q31&lt;1.79,SUM(Q31:R31), SUM('P102'!$Q31:$S31))</f>
        <v>7.7</v>
      </c>
      <c r="U31" s="56">
        <f>('P102'!$L31+'P102'!$P31+'P102'!$T31)*'P102'!$F31</f>
        <v>23.95358415</v>
      </c>
      <c r="V31" s="57">
        <v>3.55</v>
      </c>
      <c r="W31" s="57">
        <v>7.0</v>
      </c>
      <c r="X31" s="58">
        <f>SUM('P102'!$V31:$W31)*'P102'!$G31</f>
        <v>11.14132767</v>
      </c>
      <c r="Y31" s="140">
        <v>1.5</v>
      </c>
      <c r="Z31" s="140">
        <v>0.0</v>
      </c>
      <c r="AA31" s="140">
        <v>1.25</v>
      </c>
      <c r="AB31" s="60" t="str">
        <f>IF(SUM('P102'!$Y31:$AA31)&gt;5.9,"SI","NO")</f>
        <v>NO</v>
      </c>
      <c r="AC31" s="61">
        <f>SUM('P102'!$Y31:$AA31)</f>
        <v>2.75</v>
      </c>
      <c r="AD31" s="62">
        <v>0.0</v>
      </c>
      <c r="AE31" s="62">
        <v>4.0</v>
      </c>
      <c r="AF31" s="63" t="str">
        <f>IF('P102'!$AG31&gt;5.9,"SI","NO")</f>
        <v>NO</v>
      </c>
      <c r="AG31" s="64">
        <f>SUM('P102'!$AD31:$AE31)</f>
        <v>4</v>
      </c>
      <c r="AH31" s="141">
        <f>IF('P102'!$AF31="NO",0," ")</f>
        <v>0</v>
      </c>
      <c r="AI31" s="141">
        <f>IF('P102'!$AF31="NO",0," ")</f>
        <v>0</v>
      </c>
      <c r="AJ31" s="66">
        <f>AVERAGE('P102'!$AH31:$AI31)*'P102'!$H31</f>
        <v>0</v>
      </c>
      <c r="AK31" s="142">
        <v>0.0</v>
      </c>
      <c r="AL31" s="143">
        <v>0.0</v>
      </c>
      <c r="AM31" s="144">
        <v>0.0</v>
      </c>
      <c r="AN31" s="46">
        <f>(1*('P102'!$AL31+'P102'!$AM31))*'P102'!$AK31</f>
        <v>0</v>
      </c>
      <c r="AO31" s="70">
        <v>7.25</v>
      </c>
      <c r="AP31" s="71">
        <f>SUM('P102'!$U31)</f>
        <v>23.95358415</v>
      </c>
      <c r="AQ31" s="134">
        <f>SUM(AN31,AJ31,AG31,AC31,X31,('P102'!$AO31)*H31)</f>
        <v>26.59132767</v>
      </c>
      <c r="AR31" s="72">
        <f>'P102'!$AP31+'P102'!$AQ31</f>
        <v>50.54491182</v>
      </c>
    </row>
    <row r="32" ht="14.25" customHeight="1">
      <c r="A32" s="137" t="s">
        <v>221</v>
      </c>
      <c r="B32" s="136">
        <v>2.02502225E8</v>
      </c>
      <c r="C32" s="137" t="s">
        <v>222</v>
      </c>
      <c r="D32" s="138">
        <v>5.0</v>
      </c>
      <c r="E32" s="49"/>
      <c r="F32" s="139">
        <v>1.046449728</v>
      </c>
      <c r="G32" s="139">
        <v>1.057771771</v>
      </c>
      <c r="H32" s="139">
        <v>1.4</v>
      </c>
      <c r="I32" s="52">
        <v>3.0</v>
      </c>
      <c r="J32" s="53">
        <v>2.0</v>
      </c>
      <c r="K32" s="54">
        <v>3.5</v>
      </c>
      <c r="L32" s="55">
        <f>IF(I32&lt;1.79,SUM(I32:J32), SUM('P102'!$Q32:$S32))</f>
        <v>8.2</v>
      </c>
      <c r="M32" s="52">
        <v>3.0</v>
      </c>
      <c r="N32" s="52">
        <v>1.5</v>
      </c>
      <c r="O32" s="54">
        <v>3.7</v>
      </c>
      <c r="P32" s="55">
        <f>IF(M32&lt;1.79,SUM(M32:N32), SUM('P102'!$Q32:$S32))</f>
        <v>8.2</v>
      </c>
      <c r="Q32" s="52">
        <v>3.0</v>
      </c>
      <c r="R32" s="53">
        <v>1.5</v>
      </c>
      <c r="S32" s="54">
        <v>3.7</v>
      </c>
      <c r="T32" s="55">
        <f>IF(Q32&lt;1.79,SUM(Q32:R32), SUM('P102'!$Q32:$S32))</f>
        <v>8.2</v>
      </c>
      <c r="U32" s="56">
        <f>('P102'!$L32+'P102'!$P32+'P102'!$T32)*'P102'!$F32</f>
        <v>25.74266331</v>
      </c>
      <c r="V32" s="57">
        <v>2.85</v>
      </c>
      <c r="W32" s="150">
        <v>6.6</v>
      </c>
      <c r="X32" s="58">
        <f>SUM('P102'!$V32:$W32)*'P102'!$G32</f>
        <v>9.995943236</v>
      </c>
      <c r="Y32" s="152">
        <v>1.5</v>
      </c>
      <c r="Z32" s="140">
        <v>1.5</v>
      </c>
      <c r="AA32" s="140">
        <v>0.0</v>
      </c>
      <c r="AB32" s="60" t="str">
        <f>IF(SUM('P102'!$Z32:$AA32)&gt;5.9,"SI","NO")</f>
        <v>NO</v>
      </c>
      <c r="AC32" s="61">
        <f>SUM('P102'!$Y32:$AA32)</f>
        <v>3</v>
      </c>
      <c r="AD32" s="62">
        <v>0.0</v>
      </c>
      <c r="AE32" s="62">
        <v>2.0</v>
      </c>
      <c r="AF32" s="63" t="str">
        <f>IF('P102'!$AG32&gt;5.9,"SI","NO")</f>
        <v>NO</v>
      </c>
      <c r="AG32" s="64">
        <f>SUM('P102'!$AD32:$AE32)</f>
        <v>2</v>
      </c>
      <c r="AH32" s="141">
        <f>IF('P102'!$AF32="NO",0," ")</f>
        <v>0</v>
      </c>
      <c r="AI32" s="141">
        <f>IF('P102'!$AF32="NO",0," ")</f>
        <v>0</v>
      </c>
      <c r="AJ32" s="66">
        <f>AVERAGE('P102'!$AH32:$AI32)*'P102'!$H32</f>
        <v>0</v>
      </c>
      <c r="AK32" s="142">
        <v>0.0</v>
      </c>
      <c r="AL32" s="143">
        <v>0.0</v>
      </c>
      <c r="AM32" s="144">
        <v>0.0</v>
      </c>
      <c r="AN32" s="46">
        <f>(1*('P102'!$AL32+'P102'!$AM32))*'P102'!$AK32</f>
        <v>0</v>
      </c>
      <c r="AO32" s="70">
        <v>7.25</v>
      </c>
      <c r="AP32" s="71">
        <f>SUM('P102'!$U32)</f>
        <v>25.74266331</v>
      </c>
      <c r="AQ32" s="134">
        <f>SUM(AN32,AJ32,AG32,AC32,X32,('P102'!$AO32)*H32)</f>
        <v>25.14594324</v>
      </c>
      <c r="AR32" s="72">
        <f>'P102'!$AP32+'P102'!$AQ32</f>
        <v>50.88860654</v>
      </c>
    </row>
    <row r="33" ht="14.25" customHeight="1">
      <c r="A33" s="145" t="s">
        <v>223</v>
      </c>
      <c r="B33" s="146">
        <v>2.02402285E8</v>
      </c>
      <c r="C33" s="145" t="s">
        <v>224</v>
      </c>
      <c r="D33" s="147">
        <v>5.0</v>
      </c>
      <c r="E33" s="49"/>
      <c r="F33" s="139">
        <v>1.02441674</v>
      </c>
      <c r="G33" s="139">
        <v>1.009665796</v>
      </c>
      <c r="H33" s="139">
        <v>0.5</v>
      </c>
      <c r="I33" s="52">
        <v>1.5</v>
      </c>
      <c r="J33" s="53">
        <v>2.0</v>
      </c>
      <c r="K33" s="54">
        <v>0.0</v>
      </c>
      <c r="L33" s="55">
        <f>IF(I33&lt;1.79,SUM(I33:J33), SUM('P102'!$Q33:$S33))</f>
        <v>3.5</v>
      </c>
      <c r="M33" s="52">
        <v>1.5</v>
      </c>
      <c r="N33" s="53">
        <v>1.5</v>
      </c>
      <c r="O33" s="54">
        <v>3.7</v>
      </c>
      <c r="P33" s="55">
        <f>IF(M33&lt;1.79,SUM(M33:N33), SUM('P102'!$Q33:$S33))</f>
        <v>3</v>
      </c>
      <c r="Q33" s="52">
        <v>1.5</v>
      </c>
      <c r="R33" s="53">
        <v>1.5</v>
      </c>
      <c r="S33" s="54">
        <v>3.7</v>
      </c>
      <c r="T33" s="55">
        <f>IF(Q33&lt;1.79,SUM(Q33:R33), SUM('P102'!$Q33:$S33))</f>
        <v>3</v>
      </c>
      <c r="U33" s="56">
        <f>('P102'!$L33+'P102'!$P33+'P102'!$T33)*'P102'!$F33</f>
        <v>9.73195903</v>
      </c>
      <c r="V33" s="57">
        <v>2.85</v>
      </c>
      <c r="W33" s="57">
        <v>6.6</v>
      </c>
      <c r="X33" s="58">
        <f>SUM('P102'!$V33:$W33)*'P102'!$G33</f>
        <v>9.541341772</v>
      </c>
      <c r="Y33" s="140">
        <v>2.0</v>
      </c>
      <c r="Z33" s="140">
        <v>3.0</v>
      </c>
      <c r="AA33" s="140">
        <v>0.0</v>
      </c>
      <c r="AB33" s="60" t="str">
        <f>IF(SUM('P102'!$Y33:$AA33)&gt;5.9,"SI","NO")</f>
        <v>NO</v>
      </c>
      <c r="AC33" s="61">
        <f>SUM('P102'!$Y33:$AA33)</f>
        <v>5</v>
      </c>
      <c r="AD33" s="62">
        <v>0.0</v>
      </c>
      <c r="AE33" s="62">
        <v>2.0</v>
      </c>
      <c r="AF33" s="63" t="str">
        <f>IF('P102'!$AG33&gt;5.9,"SI","NO")</f>
        <v>NO</v>
      </c>
      <c r="AG33" s="64">
        <f>SUM('P102'!$AD33:$AE33)</f>
        <v>2</v>
      </c>
      <c r="AH33" s="141">
        <f>IF('P102'!$AF33="NO",0," ")</f>
        <v>0</v>
      </c>
      <c r="AI33" s="141">
        <f>IF('P102'!$AF33="NO",0," ")</f>
        <v>0</v>
      </c>
      <c r="AJ33" s="66">
        <f>AVERAGE('P102'!$AH33:$AI33)*'P102'!$H33</f>
        <v>0</v>
      </c>
      <c r="AK33" s="142">
        <v>0.0</v>
      </c>
      <c r="AL33" s="143">
        <v>0.0</v>
      </c>
      <c r="AM33" s="144">
        <v>0.0</v>
      </c>
      <c r="AN33" s="46">
        <f>(1*('P102'!$AL33+'P102'!$AM33))*'P102'!$AK33</f>
        <v>0</v>
      </c>
      <c r="AO33" s="70">
        <v>7.25</v>
      </c>
      <c r="AP33" s="71">
        <f>SUM('P102'!$U33)</f>
        <v>9.73195903</v>
      </c>
      <c r="AQ33" s="134">
        <f>SUM(AN33,AJ33,AG33,AC33,X33,('P102'!$AO33)*H33)</f>
        <v>20.16634177</v>
      </c>
      <c r="AR33" s="72">
        <f>'P102'!$AP33+'P102'!$AQ33</f>
        <v>29.8983008</v>
      </c>
    </row>
    <row r="34" ht="14.25" customHeight="1">
      <c r="A34" s="137" t="s">
        <v>225</v>
      </c>
      <c r="B34" s="136">
        <v>2.02402582E8</v>
      </c>
      <c r="C34" s="137" t="s">
        <v>226</v>
      </c>
      <c r="D34" s="138">
        <v>8.0</v>
      </c>
      <c r="E34" s="49"/>
      <c r="F34" s="139">
        <v>1.25</v>
      </c>
      <c r="G34" s="139">
        <v>1.25</v>
      </c>
      <c r="H34" s="139">
        <v>1.25</v>
      </c>
      <c r="I34" s="52">
        <v>3.0</v>
      </c>
      <c r="J34" s="53">
        <v>2.0</v>
      </c>
      <c r="K34" s="54">
        <v>3.8</v>
      </c>
      <c r="L34" s="55">
        <f>IF(I34&lt;1.79,SUM(I34:J34), SUM('P102'!$Q34:$S34))</f>
        <v>7.25</v>
      </c>
      <c r="M34" s="52">
        <v>3.0</v>
      </c>
      <c r="N34" s="53">
        <v>0.0</v>
      </c>
      <c r="O34" s="54">
        <v>3.75</v>
      </c>
      <c r="P34" s="55">
        <f>IF(M34&lt;1.79,SUM(M34:N34), SUM('P102'!$Q34:$S34))</f>
        <v>7.25</v>
      </c>
      <c r="Q34" s="52">
        <v>3.0</v>
      </c>
      <c r="R34" s="53">
        <v>0.5</v>
      </c>
      <c r="S34" s="54">
        <v>3.75</v>
      </c>
      <c r="T34" s="55">
        <f>IF(Q34&lt;1.79,SUM(Q34:R34), SUM('P102'!$Q34:$S34))</f>
        <v>7.25</v>
      </c>
      <c r="U34" s="56">
        <f>('P102'!$L34+'P102'!$P34+'P102'!$T34)*'P102'!$F34</f>
        <v>27.1875</v>
      </c>
      <c r="V34" s="57">
        <v>3.8</v>
      </c>
      <c r="W34" s="57">
        <v>8.0</v>
      </c>
      <c r="X34" s="58">
        <f>SUM('P102'!$V34:$W34)*'P102'!$G34</f>
        <v>14.75</v>
      </c>
      <c r="Y34" s="140">
        <v>1.0</v>
      </c>
      <c r="Z34" s="140">
        <v>0.0</v>
      </c>
      <c r="AA34" s="140">
        <v>5.0</v>
      </c>
      <c r="AB34" s="60" t="str">
        <f>IF(SUM('P102'!$Y34:$AA34)&gt;5.9,"SI","NO")</f>
        <v>SI</v>
      </c>
      <c r="AC34" s="61">
        <f>SUM('P102'!$Y34:$AA34)</f>
        <v>6</v>
      </c>
      <c r="AD34" s="62">
        <v>1.0</v>
      </c>
      <c r="AE34" s="149">
        <v>4.5</v>
      </c>
      <c r="AF34" s="63" t="str">
        <f>IF('P102'!$AG34&gt;5.9,"SI","NO")</f>
        <v>NO</v>
      </c>
      <c r="AG34" s="64">
        <f>SUM('P102'!$AD34:$AE34)</f>
        <v>5.5</v>
      </c>
      <c r="AH34" s="141">
        <f>IF('P102'!$AF34="NO",0," ")</f>
        <v>0</v>
      </c>
      <c r="AI34" s="141">
        <f>IF('P102'!$AF34="NO",0," ")</f>
        <v>0</v>
      </c>
      <c r="AJ34" s="66">
        <f>AVERAGE('P102'!$AH34:$AI34)*'P102'!$H34</f>
        <v>0</v>
      </c>
      <c r="AK34" s="142">
        <v>0.0</v>
      </c>
      <c r="AL34" s="143">
        <v>0.0</v>
      </c>
      <c r="AM34" s="144">
        <v>0.0</v>
      </c>
      <c r="AN34" s="46">
        <f>(1*('P102'!$AL34+'P102'!$AM34))*'P102'!$AK34</f>
        <v>0</v>
      </c>
      <c r="AO34" s="70">
        <v>8.0</v>
      </c>
      <c r="AP34" s="71">
        <f>SUM('P102'!$U34)</f>
        <v>27.1875</v>
      </c>
      <c r="AQ34" s="134">
        <f>SUM(AN34,AJ34,AG34,AC34,X34,('P102'!$AO34)*H34)</f>
        <v>36.25</v>
      </c>
      <c r="AR34" s="153">
        <f>'P102'!$AP34+'P102'!$AQ34</f>
        <v>63.4375</v>
      </c>
    </row>
    <row r="35" ht="14.25" customHeight="1">
      <c r="A35" s="145" t="s">
        <v>227</v>
      </c>
      <c r="B35" s="146">
        <v>2.02201216E8</v>
      </c>
      <c r="C35" s="145" t="s">
        <v>228</v>
      </c>
      <c r="D35" s="147">
        <v>6.0</v>
      </c>
      <c r="E35" s="49"/>
      <c r="F35" s="139">
        <v>0.486864496</v>
      </c>
      <c r="G35" s="139">
        <v>0.5</v>
      </c>
      <c r="H35" s="139">
        <v>0.5</v>
      </c>
      <c r="I35" s="52">
        <v>2.25</v>
      </c>
      <c r="J35" s="53">
        <v>2.0</v>
      </c>
      <c r="K35" s="54">
        <v>4.2</v>
      </c>
      <c r="L35" s="55">
        <f>IF(I35&lt;1.79,SUM(I35:J35), SUM('P102'!$Q35:$S35))</f>
        <v>9.25</v>
      </c>
      <c r="M35" s="52">
        <v>2.25</v>
      </c>
      <c r="N35" s="53">
        <v>2.0</v>
      </c>
      <c r="O35" s="54">
        <v>5.0</v>
      </c>
      <c r="P35" s="55">
        <f>IF(M35&lt;1.79,SUM(M35:N35), SUM('P102'!$Q35:$S35))</f>
        <v>9.25</v>
      </c>
      <c r="Q35" s="52">
        <v>2.25</v>
      </c>
      <c r="R35" s="53">
        <v>2.0</v>
      </c>
      <c r="S35" s="54">
        <v>5.0</v>
      </c>
      <c r="T35" s="55">
        <f>IF(Q35&lt;1.79,SUM(Q35:R35), SUM('P102'!$Q35:$S35))</f>
        <v>9.25</v>
      </c>
      <c r="U35" s="56">
        <f>('P102'!$L35+'P102'!$P35+'P102'!$T35)*'P102'!$F35</f>
        <v>13.51048976</v>
      </c>
      <c r="V35" s="57">
        <v>4.3</v>
      </c>
      <c r="W35" s="57">
        <v>8.0</v>
      </c>
      <c r="X35" s="58">
        <f>SUM('P102'!$V35:$W35)*'P102'!$G35</f>
        <v>6.15</v>
      </c>
      <c r="Y35" s="140">
        <v>1.0</v>
      </c>
      <c r="Z35" s="140">
        <v>1.5</v>
      </c>
      <c r="AA35" s="140">
        <v>2.5</v>
      </c>
      <c r="AB35" s="60" t="str">
        <f>IF(SUM('P102'!$Y35:$AA35)&gt;5.9,"SI","NO")</f>
        <v>NO</v>
      </c>
      <c r="AC35" s="61">
        <f>SUM('P102'!$Y34:$AA34)</f>
        <v>6</v>
      </c>
      <c r="AD35" s="62">
        <v>1.0</v>
      </c>
      <c r="AE35" s="62">
        <v>2.0</v>
      </c>
      <c r="AF35" s="63" t="str">
        <f>IF('P102'!$AG35&gt;5.9,"SI","NO")</f>
        <v>NO</v>
      </c>
      <c r="AG35" s="64">
        <f>SUM('P102'!$AD35:$AE35)</f>
        <v>3</v>
      </c>
      <c r="AH35" s="141">
        <f>IF('P102'!$AF35="NO",0," ")</f>
        <v>0</v>
      </c>
      <c r="AI35" s="141">
        <f>IF('P102'!$AF35="NO",0," ")</f>
        <v>0</v>
      </c>
      <c r="AJ35" s="66">
        <f>AVERAGE('P102'!$AH35:$AI35)*'P102'!$H35</f>
        <v>0</v>
      </c>
      <c r="AK35" s="142">
        <v>0.0</v>
      </c>
      <c r="AL35" s="143">
        <v>0.0</v>
      </c>
      <c r="AM35" s="144">
        <v>0.0</v>
      </c>
      <c r="AN35" s="46">
        <f>(1*('P102'!$AL35+'P102'!$AM35))*'P102'!$AK35</f>
        <v>0</v>
      </c>
      <c r="AO35" s="70">
        <v>0.0</v>
      </c>
      <c r="AP35" s="71">
        <f>SUM('P102'!$U35)</f>
        <v>13.51048976</v>
      </c>
      <c r="AQ35" s="134">
        <f>SUM(AN35,AJ35,AG35,AC35,X35,('P102'!$AO35)*H35)</f>
        <v>15.15</v>
      </c>
      <c r="AR35" s="72">
        <f>'P102'!$AP35+'P102'!$AQ35</f>
        <v>28.66048976</v>
      </c>
    </row>
    <row r="36" ht="14.25" customHeight="1">
      <c r="A36" s="137" t="s">
        <v>229</v>
      </c>
      <c r="B36" s="136">
        <v>2.02501979E8</v>
      </c>
      <c r="C36" s="137" t="s">
        <v>230</v>
      </c>
      <c r="D36" s="138">
        <v>1.0</v>
      </c>
      <c r="E36" s="49"/>
      <c r="F36" s="139">
        <v>0.971756105</v>
      </c>
      <c r="G36" s="139">
        <v>0.97148088</v>
      </c>
      <c r="H36" s="139">
        <v>0.946099834</v>
      </c>
      <c r="I36" s="52">
        <v>3.0</v>
      </c>
      <c r="J36" s="53">
        <v>0.0</v>
      </c>
      <c r="K36" s="54">
        <v>3.55</v>
      </c>
      <c r="L36" s="55">
        <f>IF(I36&lt;1.79,SUM(I36:J36), SUM('P102'!$Q36:$S36))</f>
        <v>6.6</v>
      </c>
      <c r="M36" s="52">
        <v>3.0</v>
      </c>
      <c r="N36" s="53">
        <v>0.0</v>
      </c>
      <c r="O36" s="54">
        <v>3.6</v>
      </c>
      <c r="P36" s="55">
        <f>IF(M36&lt;1.79,SUM(M36:N36), SUM('P102'!$Q36:$S36))</f>
        <v>6.6</v>
      </c>
      <c r="Q36" s="52">
        <v>3.0</v>
      </c>
      <c r="R36" s="53">
        <v>0.0</v>
      </c>
      <c r="S36" s="54">
        <v>3.6</v>
      </c>
      <c r="T36" s="55">
        <f>IF(Q36&lt;1.79,SUM(Q36:R36), SUM('P102'!$Q36:$S36))</f>
        <v>6.6</v>
      </c>
      <c r="U36" s="56">
        <f>('P102'!$L36+'P102'!$P36+'P102'!$T36)*'P102'!$F36</f>
        <v>19.24077088</v>
      </c>
      <c r="V36" s="57">
        <v>2.8</v>
      </c>
      <c r="W36" s="57">
        <v>6.7</v>
      </c>
      <c r="X36" s="58">
        <f>SUM('P102'!$V36:$W36)*'P102'!$G36</f>
        <v>9.22906836</v>
      </c>
      <c r="Y36" s="140">
        <v>2.0</v>
      </c>
      <c r="Z36" s="140">
        <v>1.5</v>
      </c>
      <c r="AA36" s="140">
        <v>2.5</v>
      </c>
      <c r="AB36" s="60" t="str">
        <f>IF(SUM('P102'!$Y36:$AA36)&gt;5.9,"SI","NO")</f>
        <v>SI</v>
      </c>
      <c r="AC36" s="61">
        <f>SUM('P102'!$Y36:$AA36)</f>
        <v>6</v>
      </c>
      <c r="AD36" s="62">
        <v>1.0</v>
      </c>
      <c r="AE36" s="62">
        <v>3.0</v>
      </c>
      <c r="AF36" s="63" t="str">
        <f>IF('P102'!$AG36&gt;5.9,"SI","NO")</f>
        <v>NO</v>
      </c>
      <c r="AG36" s="64">
        <f>SUM('P102'!$AD36:$AE36)</f>
        <v>4</v>
      </c>
      <c r="AH36" s="141">
        <f>IF('P102'!$AF36="NO",0," ")</f>
        <v>0</v>
      </c>
      <c r="AI36" s="65">
        <v>1.0</v>
      </c>
      <c r="AJ36" s="66">
        <f>AVERAGE('P102'!$AH36:$AI36)*'P102'!$H36</f>
        <v>0.473049917</v>
      </c>
      <c r="AK36" s="142">
        <v>0.0</v>
      </c>
      <c r="AL36" s="143">
        <v>0.0</v>
      </c>
      <c r="AM36" s="144">
        <v>0.0</v>
      </c>
      <c r="AN36" s="46">
        <f>(1*('P102'!$AL36+'P102'!$AM36))*'P102'!$AK36</f>
        <v>0</v>
      </c>
      <c r="AO36" s="70">
        <v>7.0</v>
      </c>
      <c r="AP36" s="71">
        <f>SUM('P102'!$U36)</f>
        <v>19.24077088</v>
      </c>
      <c r="AQ36" s="134">
        <f>SUM(AN36,AJ36,AG36,AC36,X36,('P102'!$AO36)*H36)</f>
        <v>26.32481712</v>
      </c>
      <c r="AR36" s="72">
        <f>'P102'!$AP36+'P102'!$AQ36</f>
        <v>45.56558799</v>
      </c>
    </row>
    <row r="37" ht="14.25" customHeight="1">
      <c r="A37" s="145" t="s">
        <v>231</v>
      </c>
      <c r="B37" s="146">
        <v>2.02400305E8</v>
      </c>
      <c r="C37" s="145" t="s">
        <v>232</v>
      </c>
      <c r="D37" s="147">
        <v>1.0</v>
      </c>
      <c r="E37" s="49"/>
      <c r="F37" s="139">
        <v>0.880237696</v>
      </c>
      <c r="G37" s="139">
        <v>0.850230302</v>
      </c>
      <c r="H37" s="139">
        <v>0.5</v>
      </c>
      <c r="I37" s="52">
        <v>1.5</v>
      </c>
      <c r="J37" s="53">
        <v>0.0</v>
      </c>
      <c r="K37" s="54">
        <v>0.0</v>
      </c>
      <c r="L37" s="55">
        <f>IF(I37&lt;1.79,SUM(I37:J37), SUM('P102'!$Q37:$S37))</f>
        <v>1.5</v>
      </c>
      <c r="M37" s="52">
        <v>1.5</v>
      </c>
      <c r="N37" s="53">
        <v>0.0</v>
      </c>
      <c r="O37" s="54">
        <v>3.6</v>
      </c>
      <c r="P37" s="55">
        <f>IF(M37&lt;1.79,SUM(M37:N37), SUM('P102'!$Q37:$S37))</f>
        <v>1.5</v>
      </c>
      <c r="Q37" s="52">
        <v>1.5</v>
      </c>
      <c r="R37" s="53">
        <v>0.0</v>
      </c>
      <c r="S37" s="54">
        <v>3.6</v>
      </c>
      <c r="T37" s="55">
        <f>IF(Q37&lt;1.79,SUM(Q37:R37), SUM('P102'!$Q37:$S37))</f>
        <v>1.5</v>
      </c>
      <c r="U37" s="56">
        <f>('P102'!$L37+'P102'!$P37+'P102'!$T37)*'P102'!$F37</f>
        <v>3.961069632</v>
      </c>
      <c r="V37" s="57">
        <v>2.8</v>
      </c>
      <c r="W37" s="57">
        <v>6.7</v>
      </c>
      <c r="X37" s="58">
        <f>SUM('P102'!$V37:$W37)*'P102'!$G37</f>
        <v>8.077187869</v>
      </c>
      <c r="Y37" s="140">
        <v>1.0</v>
      </c>
      <c r="Z37" s="140">
        <v>0.0</v>
      </c>
      <c r="AA37" s="140">
        <v>0.0</v>
      </c>
      <c r="AB37" s="60" t="str">
        <f>IF(SUM('P102'!$Y37:$AA37)&gt;5.9,"SI","NO")</f>
        <v>NO</v>
      </c>
      <c r="AC37" s="61">
        <f>SUM('P102'!$Y37:$AA37)</f>
        <v>1</v>
      </c>
      <c r="AD37" s="62">
        <v>1.0</v>
      </c>
      <c r="AE37" s="62">
        <v>3.0</v>
      </c>
      <c r="AF37" s="63" t="str">
        <f>IF('P102'!$AG37&gt;5.9,"SI","NO")</f>
        <v>NO</v>
      </c>
      <c r="AG37" s="64">
        <f>SUM('P102'!$AD37:$AE37)</f>
        <v>4</v>
      </c>
      <c r="AH37" s="141">
        <f>IF('P102'!$AF37="NO",0," ")</f>
        <v>0</v>
      </c>
      <c r="AI37" s="65">
        <v>1.0</v>
      </c>
      <c r="AJ37" s="66">
        <f>AVERAGE('P102'!$AH37:$AI37)*'P102'!$H37</f>
        <v>0.25</v>
      </c>
      <c r="AK37" s="142">
        <v>0.0</v>
      </c>
      <c r="AL37" s="143">
        <v>0.0</v>
      </c>
      <c r="AM37" s="144">
        <v>0.0</v>
      </c>
      <c r="AN37" s="46">
        <f>(1*('P102'!$AL37+'P102'!$AM37))*'P102'!$AK37</f>
        <v>0</v>
      </c>
      <c r="AO37" s="70">
        <v>7.0</v>
      </c>
      <c r="AP37" s="71">
        <f>SUM('P102'!$U37)</f>
        <v>3.961069632</v>
      </c>
      <c r="AQ37" s="134">
        <f>SUM(AN37,AJ37,AG37,AC37,X37,('P102'!$AO37)*H37)</f>
        <v>16.82718787</v>
      </c>
      <c r="AR37" s="72">
        <f>'P102'!$AP37+'P102'!$AQ37</f>
        <v>20.7882575</v>
      </c>
    </row>
    <row r="38" ht="14.25" customHeight="1">
      <c r="A38" s="137" t="s">
        <v>233</v>
      </c>
      <c r="B38" s="136">
        <v>2.02411765E8</v>
      </c>
      <c r="C38" s="137" t="s">
        <v>234</v>
      </c>
      <c r="D38" s="138">
        <v>1.0</v>
      </c>
      <c r="E38" s="49"/>
      <c r="F38" s="139">
        <v>1.066777637</v>
      </c>
      <c r="G38" s="139">
        <v>1.055678849</v>
      </c>
      <c r="H38" s="139">
        <v>0.5</v>
      </c>
      <c r="I38" s="52">
        <v>3.0</v>
      </c>
      <c r="J38" s="53">
        <v>0.0</v>
      </c>
      <c r="K38" s="54">
        <v>0.0</v>
      </c>
      <c r="L38" s="55">
        <f>IF(I38&lt;1.79,SUM(I38:J38), SUM('P102'!$Q38:$S38))</f>
        <v>6.6</v>
      </c>
      <c r="M38" s="52">
        <v>3.0</v>
      </c>
      <c r="N38" s="53">
        <v>0.0</v>
      </c>
      <c r="O38" s="54">
        <v>3.6</v>
      </c>
      <c r="P38" s="55">
        <f>IF(M38&lt;1.79,SUM(M38:N38), SUM('P102'!$Q38:$S38))</f>
        <v>6.6</v>
      </c>
      <c r="Q38" s="52">
        <v>3.0</v>
      </c>
      <c r="R38" s="53">
        <v>0.0</v>
      </c>
      <c r="S38" s="54">
        <v>3.6</v>
      </c>
      <c r="T38" s="55">
        <f>IF(Q38&lt;1.79,SUM(Q38:R38), SUM('P102'!$Q38:$S38))</f>
        <v>6.6</v>
      </c>
      <c r="U38" s="56">
        <f>('P102'!$L38+'P102'!$P38+'P102'!$T38)*'P102'!$F38</f>
        <v>21.12219721</v>
      </c>
      <c r="V38" s="57">
        <v>2.8</v>
      </c>
      <c r="W38" s="57">
        <v>6.7</v>
      </c>
      <c r="X38" s="58">
        <f>SUM('P102'!$V38:$W38)*'P102'!$G38</f>
        <v>10.02894907</v>
      </c>
      <c r="Y38" s="140">
        <v>1.5</v>
      </c>
      <c r="Z38" s="140">
        <v>0.0</v>
      </c>
      <c r="AA38" s="140">
        <v>0.0</v>
      </c>
      <c r="AB38" s="60" t="str">
        <f>IF(SUM('P102'!$Y38:$AA38)&gt;5.9,"SI","NO")</f>
        <v>NO</v>
      </c>
      <c r="AC38" s="61">
        <f>SUM('P102'!$Y38:$AA38)</f>
        <v>1.5</v>
      </c>
      <c r="AD38" s="62">
        <v>1.0</v>
      </c>
      <c r="AE38" s="62">
        <v>3.0</v>
      </c>
      <c r="AF38" s="63" t="str">
        <f>IF('P102'!$AG38&gt;5.9,"SI","NO")</f>
        <v>NO</v>
      </c>
      <c r="AG38" s="64">
        <f>SUM('P102'!$AD38:$AE38)</f>
        <v>4</v>
      </c>
      <c r="AH38" s="141">
        <f>IF('P102'!$AF38="NO",0," ")</f>
        <v>0</v>
      </c>
      <c r="AI38" s="65">
        <v>1.0</v>
      </c>
      <c r="AJ38" s="66">
        <f>AVERAGE('P102'!$AH38:$AI38)*'P102'!$H38</f>
        <v>0.25</v>
      </c>
      <c r="AK38" s="142">
        <v>0.0</v>
      </c>
      <c r="AL38" s="143">
        <v>0.0</v>
      </c>
      <c r="AM38" s="144">
        <v>0.0</v>
      </c>
      <c r="AN38" s="46">
        <f>(1*('P102'!$AL38+'P102'!$AM38))*'P102'!$AK38</f>
        <v>0</v>
      </c>
      <c r="AO38" s="70">
        <v>7.0</v>
      </c>
      <c r="AP38" s="71">
        <f>SUM('P102'!$U38)</f>
        <v>21.12219721</v>
      </c>
      <c r="AQ38" s="134">
        <f>SUM(AN38,AJ38,AG38,AC38,X38,('P102'!$AO38)*H38)</f>
        <v>19.27894907</v>
      </c>
      <c r="AR38" s="72">
        <f>'P102'!$AP38+'P102'!$AQ38</f>
        <v>40.40114628</v>
      </c>
    </row>
    <row r="39" ht="14.25" customHeight="1">
      <c r="A39" s="145" t="s">
        <v>235</v>
      </c>
      <c r="B39" s="146">
        <v>2.02206595E8</v>
      </c>
      <c r="C39" s="145" t="s">
        <v>236</v>
      </c>
      <c r="D39" s="147">
        <v>4.0</v>
      </c>
      <c r="E39" s="49"/>
      <c r="F39" s="139">
        <v>0.724285968</v>
      </c>
      <c r="G39" s="139">
        <v>0.5</v>
      </c>
      <c r="H39" s="139">
        <v>0.5</v>
      </c>
      <c r="I39" s="52">
        <v>2.25</v>
      </c>
      <c r="J39" s="53">
        <v>1.0</v>
      </c>
      <c r="K39" s="54">
        <v>4.5</v>
      </c>
      <c r="L39" s="55">
        <f>IF(I39&lt;1.79,SUM(I39:J39), SUM('P102'!$Q39:$S39))</f>
        <v>7.45</v>
      </c>
      <c r="M39" s="52">
        <v>2.25</v>
      </c>
      <c r="N39" s="53">
        <v>1.5</v>
      </c>
      <c r="O39" s="54">
        <v>3.7</v>
      </c>
      <c r="P39" s="55">
        <f>IF(M39&lt;1.79,SUM(M39:N39), SUM('P102'!$Q39:$S39))</f>
        <v>7.45</v>
      </c>
      <c r="Q39" s="52">
        <v>2.25</v>
      </c>
      <c r="R39" s="53">
        <v>1.5</v>
      </c>
      <c r="S39" s="54">
        <v>3.7</v>
      </c>
      <c r="T39" s="55">
        <f>IF(Q39&lt;1.79,SUM(Q39:R39), SUM('P102'!$Q39:$S39))</f>
        <v>7.45</v>
      </c>
      <c r="U39" s="56">
        <f>('P102'!$L39+'P102'!$P39+'P102'!$T39)*'P102'!$F39</f>
        <v>16.18779138</v>
      </c>
      <c r="V39" s="57">
        <v>2.6</v>
      </c>
      <c r="W39" s="57">
        <v>6.44</v>
      </c>
      <c r="X39" s="58">
        <f>SUM('P102'!$V39:$W39)*'P102'!$G39</f>
        <v>4.52</v>
      </c>
      <c r="Y39" s="140">
        <v>1.0</v>
      </c>
      <c r="Z39" s="140">
        <v>0.0</v>
      </c>
      <c r="AA39" s="140">
        <v>0.0</v>
      </c>
      <c r="AB39" s="60" t="str">
        <f>IF(SUM('P102'!$Y39:$AA39)&gt;5.9,"SI","NO")</f>
        <v>NO</v>
      </c>
      <c r="AC39" s="61">
        <f>SUM('P102'!$Y39:$AA39)</f>
        <v>1</v>
      </c>
      <c r="AD39" s="62">
        <v>1.0</v>
      </c>
      <c r="AE39" s="62">
        <v>4.0</v>
      </c>
      <c r="AF39" s="63" t="str">
        <f>IF('P102'!$AG39&gt;5.9,"SI","NO")</f>
        <v>NO</v>
      </c>
      <c r="AG39" s="64">
        <f>SUM('P102'!$AD39:$AE39)</f>
        <v>5</v>
      </c>
      <c r="AH39" s="141">
        <f>IF('P102'!$AF39="NO",0," ")</f>
        <v>0</v>
      </c>
      <c r="AI39" s="141">
        <f>IF('P102'!$AF39="NO",0," ")</f>
        <v>0</v>
      </c>
      <c r="AJ39" s="66">
        <f>AVERAGE('P102'!$AH39:$AI39)*'P102'!$H39</f>
        <v>0</v>
      </c>
      <c r="AK39" s="142">
        <v>0.0</v>
      </c>
      <c r="AL39" s="143">
        <v>0.0</v>
      </c>
      <c r="AM39" s="144">
        <v>0.0</v>
      </c>
      <c r="AN39" s="46">
        <f>(1*('P102'!$AL39+'P102'!$AM39))*'P102'!$AK39</f>
        <v>0</v>
      </c>
      <c r="AO39" s="70">
        <v>7.0</v>
      </c>
      <c r="AP39" s="71">
        <f>SUM('P102'!$U39)</f>
        <v>16.18779138</v>
      </c>
      <c r="AQ39" s="134">
        <f>SUM(AN39,AJ39,AG39,AC39,X39,('P102'!$AO39)*H39)</f>
        <v>14.02</v>
      </c>
      <c r="AR39" s="72">
        <f>'P102'!$AP39+'P102'!$AQ39</f>
        <v>30.20779138</v>
      </c>
    </row>
    <row r="40" ht="14.25" customHeight="1">
      <c r="A40" s="137" t="s">
        <v>237</v>
      </c>
      <c r="B40" s="136">
        <v>2.02412235E8</v>
      </c>
      <c r="C40" s="137" t="s">
        <v>238</v>
      </c>
      <c r="D40" s="138">
        <v>2.0</v>
      </c>
      <c r="E40" s="49"/>
      <c r="F40" s="139">
        <v>0.5</v>
      </c>
      <c r="G40" s="139">
        <v>1.275894579</v>
      </c>
      <c r="H40" s="139">
        <v>0.5</v>
      </c>
      <c r="I40" s="52">
        <v>1.5</v>
      </c>
      <c r="J40" s="53">
        <v>1.0</v>
      </c>
      <c r="K40" s="54">
        <v>0.0</v>
      </c>
      <c r="L40" s="55">
        <f>IF(I40&lt;1.79,SUM(I40:J40), SUM('P102'!$Q40:$S40))</f>
        <v>2.5</v>
      </c>
      <c r="M40" s="52">
        <v>1.5</v>
      </c>
      <c r="N40" s="53">
        <v>1.5</v>
      </c>
      <c r="O40" s="54">
        <v>3.6</v>
      </c>
      <c r="P40" s="55">
        <f>IF(M40&lt;1.79,SUM(M40:N40), SUM('P102'!$Q40:$S40))</f>
        <v>3</v>
      </c>
      <c r="Q40" s="52">
        <v>1.5</v>
      </c>
      <c r="R40" s="53">
        <v>1.5</v>
      </c>
      <c r="S40" s="54">
        <v>3.6</v>
      </c>
      <c r="T40" s="55">
        <f>IF(Q40&lt;1.79,SUM(Q40:R40), SUM('P102'!$Q40:$S40))</f>
        <v>3</v>
      </c>
      <c r="U40" s="56">
        <f>('P102'!$L40+'P102'!$P40+'P102'!$T40)*'P102'!$F40</f>
        <v>4.25</v>
      </c>
      <c r="V40" s="57">
        <v>3.65</v>
      </c>
      <c r="W40" s="57">
        <v>3.5</v>
      </c>
      <c r="X40" s="58">
        <f>SUM('P102'!$V40:$W40)*'P102'!$G40</f>
        <v>9.12264624</v>
      </c>
      <c r="Y40" s="140">
        <v>2.0</v>
      </c>
      <c r="Z40" s="140">
        <v>3.0</v>
      </c>
      <c r="AA40" s="140">
        <v>1.25</v>
      </c>
      <c r="AB40" s="60" t="str">
        <f>IF(SUM('P102'!$Y40:$AA40)&gt;5.9,"SI","NO")</f>
        <v>SI</v>
      </c>
      <c r="AC40" s="61">
        <f>SUM('P102'!$Y40:$AA40)</f>
        <v>6.25</v>
      </c>
      <c r="AD40" s="62">
        <v>1.0</v>
      </c>
      <c r="AE40" s="62">
        <v>1.0</v>
      </c>
      <c r="AF40" s="63" t="str">
        <f>IF('P102'!$AG40&gt;5.9,"SI","NO")</f>
        <v>NO</v>
      </c>
      <c r="AG40" s="64">
        <f>SUM('P102'!$AD40:$AE40)</f>
        <v>2</v>
      </c>
      <c r="AH40" s="141">
        <f>IF('P102'!$AF40="NO",0," ")</f>
        <v>0</v>
      </c>
      <c r="AI40" s="141">
        <f>IF('P102'!$AF40="NO",0," ")</f>
        <v>0</v>
      </c>
      <c r="AJ40" s="66">
        <f>AVERAGE('P102'!$AH40:$AI40)*'P102'!$H40</f>
        <v>0</v>
      </c>
      <c r="AK40" s="142">
        <v>0.0</v>
      </c>
      <c r="AL40" s="143">
        <v>0.0</v>
      </c>
      <c r="AM40" s="144">
        <v>0.0</v>
      </c>
      <c r="AN40" s="46">
        <f>(1*('P102'!$AL40+'P102'!$AM40))*'P102'!$AK40</f>
        <v>0</v>
      </c>
      <c r="AO40" s="70">
        <v>7.25</v>
      </c>
      <c r="AP40" s="71">
        <f>SUM('P102'!$U40)</f>
        <v>4.25</v>
      </c>
      <c r="AQ40" s="134">
        <f>SUM(AN40,AJ40,AG40,AC40,X40,('P102'!$AO40)*H40)</f>
        <v>20.99764624</v>
      </c>
      <c r="AR40" s="72">
        <f>'P102'!$AP40+'P102'!$AQ40</f>
        <v>25.24764624</v>
      </c>
    </row>
    <row r="41" ht="14.25" customHeight="1">
      <c r="A41" s="145" t="s">
        <v>239</v>
      </c>
      <c r="B41" s="146">
        <v>2.02307021E8</v>
      </c>
      <c r="C41" s="145" t="s">
        <v>240</v>
      </c>
      <c r="D41" s="147">
        <v>3.0</v>
      </c>
      <c r="E41" s="49"/>
      <c r="F41" s="139">
        <v>0.0</v>
      </c>
      <c r="G41" s="139">
        <v>0.0</v>
      </c>
      <c r="H41" s="139">
        <v>0.0</v>
      </c>
      <c r="I41" s="154">
        <v>0.0</v>
      </c>
      <c r="J41" s="154">
        <v>0.0</v>
      </c>
      <c r="K41" s="54">
        <v>0.0</v>
      </c>
      <c r="L41" s="55">
        <f>IF(I41&lt;1.79,SUM(I41:J41), SUM('P102'!$Q41:$S41))</f>
        <v>0</v>
      </c>
      <c r="M41" s="52">
        <v>0.0</v>
      </c>
      <c r="N41" s="53">
        <v>0.0</v>
      </c>
      <c r="O41" s="54">
        <v>0.0</v>
      </c>
      <c r="P41" s="55">
        <f>IF(M41&lt;1.79,SUM(M41:N41), SUM('P102'!$Q41:$S41))</f>
        <v>0</v>
      </c>
      <c r="Q41" s="52">
        <v>0.0</v>
      </c>
      <c r="R41" s="53">
        <v>0.0</v>
      </c>
      <c r="S41" s="54">
        <v>0.0</v>
      </c>
      <c r="T41" s="55">
        <f>IF(Q41&lt;1.79,SUM(Q41:R41), SUM('P102'!$Q41:$S41))</f>
        <v>0</v>
      </c>
      <c r="U41" s="56">
        <f>('P102'!$L41+'P102'!$P41+'P102'!$T41)*'P102'!$F41</f>
        <v>0</v>
      </c>
      <c r="V41" s="57">
        <v>0.0</v>
      </c>
      <c r="W41" s="150">
        <v>0.0</v>
      </c>
      <c r="X41" s="58">
        <f>SUM('P102'!$V41:$W41)*'P102'!$G41</f>
        <v>0</v>
      </c>
      <c r="Y41" s="148">
        <v>0.0</v>
      </c>
      <c r="Z41" s="148">
        <v>0.0</v>
      </c>
      <c r="AA41" s="148">
        <v>0.0</v>
      </c>
      <c r="AB41" s="60" t="str">
        <f>IF(SUM('P102'!$Y41:$AA41)&gt;5.9,"SI","NO")</f>
        <v>NO</v>
      </c>
      <c r="AC41" s="61">
        <f>SUM('P102'!$Y41:$AA41)</f>
        <v>0</v>
      </c>
      <c r="AD41" s="62">
        <v>0.0</v>
      </c>
      <c r="AE41" s="62">
        <v>0.0</v>
      </c>
      <c r="AF41" s="63" t="str">
        <f>IF('P102'!$AG41&gt;5.9,"SI","NO")</f>
        <v>NO</v>
      </c>
      <c r="AG41" s="64">
        <f>SUM('P102'!$AD41:$AE41)</f>
        <v>0</v>
      </c>
      <c r="AH41" s="65">
        <v>0.0</v>
      </c>
      <c r="AI41" s="65">
        <v>0.0</v>
      </c>
      <c r="AJ41" s="66">
        <f>AVERAGE('P102'!$AH41:$AI41)*'P102'!$H41</f>
        <v>0</v>
      </c>
      <c r="AK41" s="142">
        <v>0.0</v>
      </c>
      <c r="AL41" s="143">
        <v>0.0</v>
      </c>
      <c r="AM41" s="144">
        <v>0.0</v>
      </c>
      <c r="AN41" s="46">
        <f>(1*('P102'!$AL41+'P102'!$AM41))*'P102'!$AK41</f>
        <v>0</v>
      </c>
      <c r="AO41" s="70">
        <v>0.0</v>
      </c>
      <c r="AP41" s="71">
        <f>SUM('P102'!$U41)</f>
        <v>0</v>
      </c>
      <c r="AQ41" s="134">
        <f>SUM(AN41,AJ41,AG41,AC41,X41,('P102'!$AO41)*H41)</f>
        <v>0</v>
      </c>
      <c r="AR41" s="72">
        <f>'P102'!$AP41+'P102'!$AQ41</f>
        <v>0</v>
      </c>
    </row>
    <row r="42" ht="14.25" customHeight="1">
      <c r="A42" s="137" t="s">
        <v>241</v>
      </c>
      <c r="B42" s="136">
        <v>2.02505913E8</v>
      </c>
      <c r="C42" s="137" t="s">
        <v>242</v>
      </c>
      <c r="D42" s="138">
        <v>3.0</v>
      </c>
      <c r="E42" s="49"/>
      <c r="F42" s="139">
        <v>1.154700538</v>
      </c>
      <c r="G42" s="139">
        <v>1.154700538</v>
      </c>
      <c r="H42" s="139">
        <v>1.154700538</v>
      </c>
      <c r="I42" s="52">
        <v>3.0</v>
      </c>
      <c r="J42" s="53">
        <v>1.25</v>
      </c>
      <c r="K42" s="54">
        <v>4.75</v>
      </c>
      <c r="L42" s="55">
        <f>IF(I42&lt;1.79,SUM(I42:J42), SUM('P102'!$Q42:$S42))</f>
        <v>8.6</v>
      </c>
      <c r="M42" s="52">
        <v>3.0</v>
      </c>
      <c r="N42" s="53">
        <v>2.0</v>
      </c>
      <c r="O42" s="54">
        <v>3.6</v>
      </c>
      <c r="P42" s="55">
        <f>IF(M42&lt;1.79,SUM(M42:N42), SUM('P102'!$Q42:$S42))</f>
        <v>8.6</v>
      </c>
      <c r="Q42" s="52">
        <v>3.0</v>
      </c>
      <c r="R42" s="53">
        <v>2.0</v>
      </c>
      <c r="S42" s="54">
        <v>3.6</v>
      </c>
      <c r="T42" s="55">
        <f>IF(Q42&lt;1.79,SUM(Q42:R42), SUM('P102'!$Q42:$S42))</f>
        <v>8.6</v>
      </c>
      <c r="U42" s="56">
        <f>('P102'!$L42+'P102'!$P42+'P102'!$T42)*'P102'!$F42</f>
        <v>29.79127388</v>
      </c>
      <c r="V42" s="57">
        <v>4.15</v>
      </c>
      <c r="W42" s="150">
        <v>8.1</v>
      </c>
      <c r="X42" s="58">
        <f>SUM('P102'!$V42:$W42)*'P102'!$G42</f>
        <v>14.14508159</v>
      </c>
      <c r="Y42" s="140">
        <v>1.5</v>
      </c>
      <c r="Z42" s="140">
        <v>1.5</v>
      </c>
      <c r="AA42" s="140">
        <v>3.75</v>
      </c>
      <c r="AB42" s="60" t="str">
        <f>IF(SUM('P102'!$Y42:$AA42)&gt;5.9,"SI","NO")</f>
        <v>SI</v>
      </c>
      <c r="AC42" s="61">
        <f>SUM('P102'!$Y42:$AA42)</f>
        <v>6.75</v>
      </c>
      <c r="AD42" s="62">
        <v>1.0</v>
      </c>
      <c r="AE42" s="62">
        <v>6.0</v>
      </c>
      <c r="AF42" s="63" t="str">
        <f>IF('P102'!$AG42&gt;5.9,"SI","NO")</f>
        <v>SI</v>
      </c>
      <c r="AG42" s="64">
        <f>SUM('P102'!$AD42:$AE42)</f>
        <v>7</v>
      </c>
      <c r="AH42" s="65">
        <v>4.0</v>
      </c>
      <c r="AI42" s="65">
        <v>3.5</v>
      </c>
      <c r="AJ42" s="66">
        <f>AVERAGE('P102'!$AH42:$AI42)*'P102'!$H42</f>
        <v>4.330127018</v>
      </c>
      <c r="AK42" s="142">
        <v>1.0</v>
      </c>
      <c r="AL42" s="143">
        <v>9.5</v>
      </c>
      <c r="AM42" s="144">
        <v>8.5</v>
      </c>
      <c r="AN42" s="46">
        <f>(1*('P102'!$AL42+'P102'!$AM42))*'P102'!$AK42</f>
        <v>18</v>
      </c>
      <c r="AO42" s="70">
        <v>9.25</v>
      </c>
      <c r="AP42" s="71">
        <f>SUM('P102'!$U42)</f>
        <v>29.79127388</v>
      </c>
      <c r="AQ42" s="134">
        <f>SUM(AN42,AJ42,AG42,AC42,X42,('P102'!$AO42)*H42)</f>
        <v>60.90618858</v>
      </c>
      <c r="AR42" s="151">
        <f>'P102'!$AP42+'P102'!$AQ42</f>
        <v>90.69746246</v>
      </c>
    </row>
    <row r="43" ht="14.25" customHeight="1">
      <c r="A43" s="145" t="s">
        <v>243</v>
      </c>
      <c r="B43" s="146">
        <v>2.01600095E8</v>
      </c>
      <c r="C43" s="145" t="s">
        <v>244</v>
      </c>
      <c r="D43" s="147">
        <v>8.0</v>
      </c>
      <c r="E43" s="49"/>
      <c r="F43" s="139">
        <v>0.0</v>
      </c>
      <c r="G43" s="139">
        <v>0.0</v>
      </c>
      <c r="H43" s="139">
        <v>0.0</v>
      </c>
      <c r="I43" s="154">
        <v>0.0</v>
      </c>
      <c r="J43" s="154">
        <v>0.0</v>
      </c>
      <c r="K43" s="54">
        <v>0.0</v>
      </c>
      <c r="L43" s="55">
        <f>IF(I43&lt;1.79,SUM(I43:J43), SUM('P102'!$Q43:$S43))</f>
        <v>0</v>
      </c>
      <c r="M43" s="52">
        <v>0.0</v>
      </c>
      <c r="N43" s="53">
        <v>0.0</v>
      </c>
      <c r="O43" s="54">
        <v>0.0</v>
      </c>
      <c r="P43" s="55">
        <f>IF(M43&lt;1.79,SUM(M43:N43), SUM('P102'!$Q43:$S43))</f>
        <v>0</v>
      </c>
      <c r="Q43" s="52">
        <v>0.0</v>
      </c>
      <c r="R43" s="53">
        <v>0.0</v>
      </c>
      <c r="S43" s="54">
        <v>0.0</v>
      </c>
      <c r="T43" s="55">
        <f>IF(Q43&lt;1.79,SUM(Q43:R43), SUM('P102'!$Q43:$S43))</f>
        <v>0</v>
      </c>
      <c r="U43" s="56">
        <f>('P102'!$L43+'P102'!$P43+'P102'!$T43)*'P102'!$F43</f>
        <v>0</v>
      </c>
      <c r="V43" s="57">
        <v>0.0</v>
      </c>
      <c r="W43" s="57">
        <v>0.0</v>
      </c>
      <c r="X43" s="58">
        <f>SUM('P102'!$V43:$W43)*'P102'!$G43</f>
        <v>0</v>
      </c>
      <c r="Y43" s="148">
        <v>0.0</v>
      </c>
      <c r="Z43" s="148">
        <v>0.0</v>
      </c>
      <c r="AA43" s="148">
        <v>0.0</v>
      </c>
      <c r="AB43" s="60" t="str">
        <f>IF(SUM('P102'!$Y43:$AA43)&gt;5.9,"SI","NO")</f>
        <v>NO</v>
      </c>
      <c r="AC43" s="61">
        <f>SUM('P102'!$Y43:$AA43)</f>
        <v>0</v>
      </c>
      <c r="AD43" s="62">
        <v>0.0</v>
      </c>
      <c r="AE43" s="155">
        <v>0.0</v>
      </c>
      <c r="AF43" s="63" t="str">
        <f>IF('P102'!$AG43&gt;5.9,"SI","NO")</f>
        <v>NO</v>
      </c>
      <c r="AG43" s="64">
        <f>SUM('P102'!$AD43:$AE43)</f>
        <v>0</v>
      </c>
      <c r="AH43" s="141">
        <f>IF('P102'!$AF43="NO",0," ")</f>
        <v>0</v>
      </c>
      <c r="AI43" s="141">
        <f>IF('P102'!$AF43="NO",0," ")</f>
        <v>0</v>
      </c>
      <c r="AJ43" s="66">
        <f>AVERAGE('P102'!$AH43:$AI43)*'P102'!$H43</f>
        <v>0</v>
      </c>
      <c r="AK43" s="142">
        <v>0.0</v>
      </c>
      <c r="AL43" s="143">
        <v>0.0</v>
      </c>
      <c r="AM43" s="144">
        <v>0.0</v>
      </c>
      <c r="AN43" s="46">
        <f>(1*('P102'!$AL43+'P102'!$AM43))*'P102'!$AK43</f>
        <v>0</v>
      </c>
      <c r="AO43" s="70">
        <v>0.0</v>
      </c>
      <c r="AP43" s="71">
        <f>SUM('P102'!$U43)</f>
        <v>0</v>
      </c>
      <c r="AQ43" s="134">
        <f>SUM(AN43,AJ43,AG43,AC43,X43,('P102'!$AO43)*H43)</f>
        <v>0</v>
      </c>
      <c r="AR43" s="72">
        <f>'P102'!$AP43+'P102'!$AQ43</f>
        <v>0</v>
      </c>
    </row>
    <row r="44" ht="14.25" customHeight="1">
      <c r="A44" s="137" t="s">
        <v>245</v>
      </c>
      <c r="B44" s="136">
        <v>2.02401568E8</v>
      </c>
      <c r="C44" s="137" t="s">
        <v>246</v>
      </c>
      <c r="D44" s="138">
        <v>3.0</v>
      </c>
      <c r="E44" s="49"/>
      <c r="F44" s="139">
        <v>1.154700538</v>
      </c>
      <c r="G44" s="139">
        <v>1.154700538</v>
      </c>
      <c r="H44" s="139">
        <v>0.5</v>
      </c>
      <c r="I44" s="52">
        <v>3.0</v>
      </c>
      <c r="J44" s="53">
        <v>1.25</v>
      </c>
      <c r="K44" s="54">
        <v>4.75</v>
      </c>
      <c r="L44" s="55">
        <f>IF(I44&lt;1.79,SUM(I44:J44), SUM('P102'!$Q44:$S44))</f>
        <v>8.6</v>
      </c>
      <c r="M44" s="52">
        <v>3.0</v>
      </c>
      <c r="N44" s="53">
        <v>2.0</v>
      </c>
      <c r="O44" s="54">
        <v>3.6</v>
      </c>
      <c r="P44" s="55">
        <f>IF(M44&lt;1.79,SUM(M44:N44), SUM('P102'!$Q44:$S44))</f>
        <v>8.6</v>
      </c>
      <c r="Q44" s="52">
        <v>3.0</v>
      </c>
      <c r="R44" s="53">
        <v>2.0</v>
      </c>
      <c r="S44" s="54">
        <v>3.6</v>
      </c>
      <c r="T44" s="55">
        <f>IF(Q44&lt;1.79,SUM(Q44:R44), SUM('P102'!$Q44:$S44))</f>
        <v>8.6</v>
      </c>
      <c r="U44" s="56">
        <f>('P102'!$L44+'P102'!$P44+'P102'!$T44)*'P102'!$F44</f>
        <v>29.79127388</v>
      </c>
      <c r="V44" s="57">
        <v>4.15</v>
      </c>
      <c r="W44" s="150">
        <v>8.1</v>
      </c>
      <c r="X44" s="58">
        <f>SUM('P102'!$V44:$W44)*'P102'!$G44</f>
        <v>14.14508159</v>
      </c>
      <c r="Y44" s="140">
        <v>2.0</v>
      </c>
      <c r="Z44" s="140">
        <v>0.0</v>
      </c>
      <c r="AA44" s="140">
        <v>1.25</v>
      </c>
      <c r="AB44" s="60" t="str">
        <f>IF(SUM('P102'!$Y44:$AA44)&gt;5.9,"SI","NO")</f>
        <v>NO</v>
      </c>
      <c r="AC44" s="61">
        <f>SUM('P102'!$Y44:$AA44)</f>
        <v>3.25</v>
      </c>
      <c r="AD44" s="62">
        <v>1.0</v>
      </c>
      <c r="AE44" s="62">
        <v>6.0</v>
      </c>
      <c r="AF44" s="63" t="str">
        <f>IF('P102'!$AG44&gt;5.9,"SI","NO")</f>
        <v>SI</v>
      </c>
      <c r="AG44" s="64">
        <f>SUM('P102'!$AD44:$AE44)</f>
        <v>7</v>
      </c>
      <c r="AH44" s="65">
        <v>4.0</v>
      </c>
      <c r="AI44" s="65">
        <v>3.5</v>
      </c>
      <c r="AJ44" s="66">
        <f>AVERAGE('P102'!$AH44:$AI44)*'P102'!$H44</f>
        <v>1.875</v>
      </c>
      <c r="AK44" s="142">
        <v>0.0</v>
      </c>
      <c r="AL44" s="143">
        <v>0.0</v>
      </c>
      <c r="AM44" s="144">
        <v>0.0</v>
      </c>
      <c r="AN44" s="46">
        <f>(1*('P102'!$AL44+'P102'!$AM44))*'P102'!$AK44</f>
        <v>0</v>
      </c>
      <c r="AO44" s="70">
        <v>9.25</v>
      </c>
      <c r="AP44" s="71">
        <f>SUM('P102'!$U44)</f>
        <v>29.79127388</v>
      </c>
      <c r="AQ44" s="134">
        <f>SUM(AN44,AJ44,AG44,AC44,X44,('P102'!$AO44)*H44)</f>
        <v>30.89508159</v>
      </c>
      <c r="AR44" s="151">
        <f>'P102'!$AP44+'P102'!$AQ44</f>
        <v>60.68635547</v>
      </c>
    </row>
    <row r="45" ht="14.25" customHeight="1">
      <c r="A45" s="145" t="s">
        <v>247</v>
      </c>
      <c r="B45" s="146">
        <v>2.02412037E8</v>
      </c>
      <c r="C45" s="145" t="s">
        <v>248</v>
      </c>
      <c r="D45" s="147">
        <v>2.0</v>
      </c>
      <c r="E45" s="49"/>
      <c r="F45" s="139">
        <v>1.118033989</v>
      </c>
      <c r="G45" s="139">
        <v>1.181248846</v>
      </c>
      <c r="H45" s="139">
        <v>1.20677698</v>
      </c>
      <c r="I45" s="52">
        <v>2.25</v>
      </c>
      <c r="J45" s="53">
        <v>1.0</v>
      </c>
      <c r="K45" s="54">
        <v>3.25</v>
      </c>
      <c r="L45" s="55">
        <f>IF(I45&lt;1.79,SUM(I45:J45), SUM('P102'!$Q45:$S45))</f>
        <v>7.35</v>
      </c>
      <c r="M45" s="52">
        <v>2.25</v>
      </c>
      <c r="N45" s="53">
        <v>1.5</v>
      </c>
      <c r="O45" s="54">
        <v>3.6</v>
      </c>
      <c r="P45" s="55">
        <f>IF(M45&lt;1.79,SUM(M45:N45), SUM('P102'!$Q45:$S45))</f>
        <v>7.35</v>
      </c>
      <c r="Q45" s="52">
        <v>2.25</v>
      </c>
      <c r="R45" s="53">
        <v>1.5</v>
      </c>
      <c r="S45" s="54">
        <v>3.6</v>
      </c>
      <c r="T45" s="55">
        <f>IF(Q45&lt;1.79,SUM(Q45:R45), SUM('P102'!$Q45:$S45))</f>
        <v>7.35</v>
      </c>
      <c r="U45" s="56">
        <f>('P102'!$L45+'P102'!$P45+'P102'!$T45)*'P102'!$F45</f>
        <v>24.65264946</v>
      </c>
      <c r="V45" s="57">
        <v>3.65</v>
      </c>
      <c r="W45" s="57">
        <v>3.5</v>
      </c>
      <c r="X45" s="58">
        <f>SUM('P102'!$V45:$W45)*'P102'!$G45</f>
        <v>8.445929249</v>
      </c>
      <c r="Y45" s="140">
        <v>1.5</v>
      </c>
      <c r="Z45" s="140">
        <v>3.0</v>
      </c>
      <c r="AA45" s="140">
        <v>0.0</v>
      </c>
      <c r="AB45" s="60" t="str">
        <f>IF(SUM('P102'!$Y45:$AA45)&gt;5.9,"SI","NO")</f>
        <v>NO</v>
      </c>
      <c r="AC45" s="61">
        <f>SUM('P102'!$Y45:$AA45)</f>
        <v>4.5</v>
      </c>
      <c r="AD45" s="62">
        <v>1.0</v>
      </c>
      <c r="AE45" s="62">
        <v>1.0</v>
      </c>
      <c r="AF45" s="63" t="str">
        <f>IF('P102'!$AG45&gt;5.9,"SI","NO")</f>
        <v>NO</v>
      </c>
      <c r="AG45" s="64">
        <f>SUM('P102'!$AD45:$AE45)</f>
        <v>2</v>
      </c>
      <c r="AH45" s="141">
        <f>IF('P102'!$AF45="NO",0," ")</f>
        <v>0</v>
      </c>
      <c r="AI45" s="141">
        <f>IF('P102'!$AF45="NO",0," ")</f>
        <v>0</v>
      </c>
      <c r="AJ45" s="66">
        <f>AVERAGE('P102'!$AH45:$AI45)*'P102'!$H45</f>
        <v>0</v>
      </c>
      <c r="AK45" s="142">
        <v>0.0</v>
      </c>
      <c r="AL45" s="143">
        <v>0.0</v>
      </c>
      <c r="AM45" s="144">
        <v>0.0</v>
      </c>
      <c r="AN45" s="46">
        <f>(1*('P102'!$AL45+'P102'!$AM45))*'P102'!$AK45</f>
        <v>0</v>
      </c>
      <c r="AO45" s="70">
        <v>7.25</v>
      </c>
      <c r="AP45" s="71">
        <f>SUM('P102'!$U45)</f>
        <v>24.65264946</v>
      </c>
      <c r="AQ45" s="134">
        <f>SUM(AN45,AJ45,AG45,AC45,X45,('P102'!$AO45)*H45)</f>
        <v>23.69506235</v>
      </c>
      <c r="AR45" s="72">
        <f>'P102'!$AP45+'P102'!$AQ45</f>
        <v>48.34771181</v>
      </c>
    </row>
    <row r="46" ht="14.25" customHeight="1">
      <c r="A46" s="156"/>
      <c r="B46" s="157"/>
      <c r="C46" s="156"/>
      <c r="D46" s="157"/>
      <c r="E46" s="106"/>
      <c r="F46" s="158"/>
      <c r="G46" s="158"/>
      <c r="H46" s="158"/>
      <c r="I46" s="159"/>
      <c r="J46" s="109"/>
      <c r="K46" s="160"/>
      <c r="L46" s="110"/>
      <c r="M46" s="161"/>
      <c r="N46" s="162"/>
      <c r="O46" s="163"/>
      <c r="P46" s="110"/>
      <c r="Q46" s="164" t="s">
        <v>249</v>
      </c>
      <c r="R46" s="162"/>
      <c r="S46" s="163"/>
      <c r="T46" s="110"/>
      <c r="U46" s="111"/>
      <c r="V46" s="165"/>
      <c r="W46" s="165"/>
      <c r="X46" s="114"/>
      <c r="Y46" s="166"/>
      <c r="Z46" s="167"/>
      <c r="AA46" s="167"/>
      <c r="AB46" s="115"/>
      <c r="AC46" s="116"/>
      <c r="AD46" s="117"/>
      <c r="AE46" s="117"/>
      <c r="AF46" s="117"/>
      <c r="AG46" s="118"/>
      <c r="AH46" s="119"/>
      <c r="AI46" s="119"/>
      <c r="AJ46" s="120"/>
      <c r="AK46" s="168"/>
      <c r="AL46" s="169"/>
      <c r="AM46" s="170"/>
      <c r="AN46" s="121"/>
      <c r="AO46" s="122"/>
      <c r="AP46" s="107"/>
      <c r="AQ46" s="134"/>
      <c r="AR46" s="171"/>
    </row>
    <row r="47" ht="14.25" customHeight="1">
      <c r="A47" s="156"/>
      <c r="B47" s="157"/>
      <c r="C47" s="156"/>
      <c r="D47" s="157"/>
      <c r="E47" s="106"/>
      <c r="F47" s="158"/>
      <c r="G47" s="158"/>
      <c r="H47" s="158"/>
      <c r="I47" s="159"/>
      <c r="J47" s="109"/>
      <c r="K47" s="160"/>
      <c r="L47" s="110"/>
      <c r="M47" s="161"/>
      <c r="N47" s="162"/>
      <c r="O47" s="163"/>
      <c r="P47" s="110"/>
      <c r="Q47" s="159"/>
      <c r="R47" s="162"/>
      <c r="S47" s="163"/>
      <c r="T47" s="110"/>
      <c r="U47" s="111"/>
      <c r="V47" s="165"/>
      <c r="W47" s="165"/>
      <c r="X47" s="114"/>
      <c r="Y47" s="166"/>
      <c r="Z47" s="167"/>
      <c r="AA47" s="167"/>
      <c r="AB47" s="115"/>
      <c r="AC47" s="116"/>
      <c r="AD47" s="117"/>
      <c r="AE47" s="117"/>
      <c r="AF47" s="117"/>
      <c r="AG47" s="118"/>
      <c r="AH47" s="119"/>
      <c r="AI47" s="119"/>
      <c r="AJ47" s="120"/>
      <c r="AK47" s="168"/>
      <c r="AL47" s="169"/>
      <c r="AM47" s="170"/>
      <c r="AN47" s="121"/>
      <c r="AO47" s="122"/>
      <c r="AP47" s="107"/>
      <c r="AQ47" s="107"/>
      <c r="AR47" s="172">
        <f>AVERAGE(AR4:AR45)</f>
        <v>36.91551882</v>
      </c>
    </row>
    <row r="48" ht="14.25" customHeight="1">
      <c r="F48" s="173"/>
      <c r="G48" s="173"/>
      <c r="H48" s="173"/>
    </row>
    <row r="49" ht="14.25" customHeight="1">
      <c r="F49" s="173"/>
      <c r="G49" s="173"/>
      <c r="H49" s="173"/>
    </row>
    <row r="50" ht="14.25" customHeight="1">
      <c r="F50" s="173"/>
      <c r="G50" s="173"/>
      <c r="H50" s="173"/>
    </row>
    <row r="51" ht="14.25" customHeight="1">
      <c r="F51" s="173"/>
      <c r="G51" s="173"/>
      <c r="H51" s="173"/>
    </row>
    <row r="52" ht="14.25" customHeight="1">
      <c r="F52" s="173"/>
      <c r="G52" s="173"/>
      <c r="H52" s="173"/>
    </row>
    <row r="53" ht="14.25" customHeight="1">
      <c r="F53" s="173"/>
      <c r="G53" s="173"/>
      <c r="H53" s="173"/>
    </row>
    <row r="54" ht="14.25" customHeight="1">
      <c r="F54" s="173"/>
      <c r="G54" s="173"/>
      <c r="H54" s="173"/>
    </row>
    <row r="55" ht="14.25" customHeight="1">
      <c r="F55" s="173"/>
      <c r="G55" s="173"/>
      <c r="H55" s="173"/>
    </row>
    <row r="56" ht="14.25" customHeight="1">
      <c r="F56" s="173"/>
      <c r="G56" s="173"/>
      <c r="H56" s="173"/>
    </row>
    <row r="57" ht="14.25" customHeight="1">
      <c r="F57" s="173"/>
      <c r="G57" s="173"/>
      <c r="H57" s="173"/>
    </row>
    <row r="58" ht="14.25" customHeight="1">
      <c r="F58" s="173"/>
      <c r="G58" s="173"/>
      <c r="H58" s="173"/>
    </row>
    <row r="59" ht="14.25" customHeight="1">
      <c r="F59" s="173"/>
      <c r="G59" s="173"/>
      <c r="H59" s="173"/>
    </row>
    <row r="60" ht="14.25" customHeight="1">
      <c r="F60" s="173"/>
      <c r="G60" s="173"/>
      <c r="H60" s="173"/>
    </row>
    <row r="61" ht="14.25" customHeight="1">
      <c r="F61" s="173"/>
      <c r="G61" s="173"/>
      <c r="H61" s="173"/>
    </row>
    <row r="62" ht="14.25" customHeight="1">
      <c r="F62" s="173"/>
      <c r="G62" s="173"/>
      <c r="H62" s="173"/>
    </row>
    <row r="63" ht="14.25" customHeight="1">
      <c r="F63" s="173"/>
      <c r="G63" s="173"/>
      <c r="H63" s="173"/>
    </row>
    <row r="64" ht="14.25" customHeight="1">
      <c r="F64" s="173"/>
      <c r="G64" s="173"/>
      <c r="H64" s="173"/>
    </row>
    <row r="65" ht="14.25" customHeight="1">
      <c r="F65" s="173"/>
      <c r="G65" s="173"/>
      <c r="H65" s="173"/>
    </row>
    <row r="66" ht="14.25" customHeight="1">
      <c r="F66" s="173"/>
      <c r="G66" s="173"/>
      <c r="H66" s="173"/>
    </row>
    <row r="67" ht="14.25" customHeight="1">
      <c r="F67" s="173"/>
      <c r="G67" s="173"/>
      <c r="H67" s="173"/>
    </row>
    <row r="68" ht="14.25" customHeight="1">
      <c r="F68" s="173"/>
      <c r="G68" s="173"/>
      <c r="H68" s="173"/>
    </row>
    <row r="69" ht="14.25" customHeight="1">
      <c r="F69" s="173"/>
      <c r="G69" s="173"/>
      <c r="H69" s="173"/>
    </row>
    <row r="70" ht="14.25" customHeight="1">
      <c r="F70" s="173"/>
      <c r="G70" s="173"/>
      <c r="H70" s="173"/>
    </row>
    <row r="71" ht="14.25" customHeight="1">
      <c r="F71" s="173"/>
      <c r="G71" s="173"/>
      <c r="H71" s="173"/>
    </row>
    <row r="72" ht="14.25" customHeight="1">
      <c r="F72" s="173"/>
      <c r="G72" s="173"/>
      <c r="H72" s="173"/>
    </row>
    <row r="73" ht="14.25" customHeight="1">
      <c r="F73" s="173"/>
      <c r="G73" s="173"/>
      <c r="H73" s="173"/>
    </row>
    <row r="74" ht="14.25" customHeight="1">
      <c r="F74" s="173"/>
      <c r="G74" s="173"/>
      <c r="H74" s="173"/>
    </row>
    <row r="75" ht="14.25" customHeight="1">
      <c r="F75" s="173"/>
      <c r="G75" s="173"/>
      <c r="H75" s="173"/>
    </row>
    <row r="76" ht="14.25" customHeight="1">
      <c r="F76" s="173"/>
      <c r="G76" s="173"/>
      <c r="H76" s="173"/>
    </row>
    <row r="77" ht="14.25" customHeight="1">
      <c r="F77" s="173"/>
      <c r="G77" s="173"/>
      <c r="H77" s="173"/>
    </row>
    <row r="78" ht="14.25" customHeight="1">
      <c r="F78" s="173"/>
      <c r="G78" s="173"/>
      <c r="H78" s="173"/>
    </row>
    <row r="79" ht="14.25" customHeight="1">
      <c r="F79" s="173"/>
      <c r="G79" s="173"/>
      <c r="H79" s="173"/>
    </row>
    <row r="80" ht="14.25" customHeight="1">
      <c r="F80" s="173"/>
      <c r="G80" s="173"/>
      <c r="H80" s="173"/>
    </row>
    <row r="81" ht="14.25" customHeight="1">
      <c r="F81" s="173"/>
      <c r="G81" s="173"/>
      <c r="H81" s="173"/>
    </row>
    <row r="82" ht="14.25" customHeight="1">
      <c r="F82" s="173"/>
      <c r="G82" s="173"/>
      <c r="H82" s="173"/>
    </row>
    <row r="83" ht="14.25" customHeight="1">
      <c r="F83" s="173"/>
      <c r="G83" s="173"/>
      <c r="H83" s="173"/>
    </row>
    <row r="84" ht="14.25" customHeight="1">
      <c r="F84" s="173"/>
      <c r="G84" s="173"/>
      <c r="H84" s="173"/>
    </row>
    <row r="85" ht="14.25" customHeight="1">
      <c r="F85" s="173"/>
      <c r="G85" s="173"/>
      <c r="H85" s="173"/>
    </row>
    <row r="86" ht="14.25" customHeight="1">
      <c r="F86" s="173"/>
      <c r="G86" s="173"/>
      <c r="H86" s="173"/>
    </row>
    <row r="87" ht="14.25" customHeight="1">
      <c r="F87" s="173"/>
      <c r="G87" s="173"/>
      <c r="H87" s="173"/>
    </row>
    <row r="88" ht="14.25" customHeight="1">
      <c r="F88" s="173"/>
      <c r="G88" s="173"/>
      <c r="H88" s="173"/>
    </row>
    <row r="89" ht="14.25" customHeight="1">
      <c r="F89" s="173"/>
      <c r="G89" s="173"/>
      <c r="H89" s="173"/>
    </row>
    <row r="90" ht="14.25" customHeight="1">
      <c r="F90" s="173"/>
      <c r="G90" s="173"/>
      <c r="H90" s="173"/>
    </row>
    <row r="91" ht="14.25" customHeight="1">
      <c r="F91" s="173"/>
      <c r="G91" s="173"/>
      <c r="H91" s="173"/>
    </row>
    <row r="92" ht="14.25" customHeight="1">
      <c r="F92" s="173"/>
      <c r="G92" s="173"/>
      <c r="H92" s="173"/>
    </row>
    <row r="93" ht="14.25" customHeight="1">
      <c r="F93" s="173"/>
      <c r="G93" s="173"/>
      <c r="H93" s="173"/>
    </row>
    <row r="94" ht="14.25" customHeight="1">
      <c r="F94" s="173"/>
      <c r="G94" s="173"/>
      <c r="H94" s="173"/>
    </row>
    <row r="95" ht="14.25" customHeight="1">
      <c r="F95" s="173"/>
      <c r="G95" s="173"/>
      <c r="H95" s="173"/>
    </row>
    <row r="96" ht="14.25" customHeight="1">
      <c r="F96" s="173"/>
      <c r="G96" s="173"/>
      <c r="H96" s="173"/>
    </row>
    <row r="97" ht="14.25" customHeight="1">
      <c r="F97" s="173"/>
      <c r="G97" s="173"/>
      <c r="H97" s="173"/>
    </row>
    <row r="98" ht="14.25" customHeight="1">
      <c r="F98" s="173"/>
      <c r="G98" s="173"/>
      <c r="H98" s="173"/>
    </row>
    <row r="99" ht="14.25" customHeight="1">
      <c r="F99" s="173"/>
      <c r="G99" s="173"/>
      <c r="H99" s="173"/>
    </row>
    <row r="100" ht="14.25" customHeight="1">
      <c r="F100" s="173"/>
      <c r="G100" s="173"/>
      <c r="H100" s="173"/>
    </row>
    <row r="101" ht="14.25" customHeight="1">
      <c r="F101" s="173"/>
      <c r="G101" s="173"/>
      <c r="H101" s="173"/>
    </row>
    <row r="102" ht="14.25" customHeight="1">
      <c r="F102" s="173"/>
      <c r="G102" s="173"/>
      <c r="H102" s="173"/>
    </row>
    <row r="103" ht="14.25" customHeight="1">
      <c r="F103" s="173"/>
      <c r="G103" s="173"/>
      <c r="H103" s="173"/>
    </row>
    <row r="104" ht="14.25" customHeight="1">
      <c r="F104" s="173"/>
      <c r="G104" s="173"/>
      <c r="H104" s="173"/>
    </row>
    <row r="105" ht="14.25" customHeight="1">
      <c r="F105" s="173"/>
      <c r="G105" s="173"/>
      <c r="H105" s="173"/>
    </row>
    <row r="106" ht="14.25" customHeight="1">
      <c r="F106" s="173"/>
      <c r="G106" s="173"/>
      <c r="H106" s="173"/>
    </row>
    <row r="107" ht="14.25" customHeight="1">
      <c r="F107" s="173"/>
      <c r="G107" s="173"/>
      <c r="H107" s="173"/>
    </row>
    <row r="108" ht="14.25" customHeight="1">
      <c r="F108" s="173"/>
      <c r="G108" s="173"/>
      <c r="H108" s="173"/>
    </row>
    <row r="109" ht="14.25" customHeight="1">
      <c r="F109" s="173"/>
      <c r="G109" s="173"/>
      <c r="H109" s="173"/>
    </row>
    <row r="110" ht="14.25" customHeight="1">
      <c r="F110" s="173"/>
      <c r="G110" s="173"/>
      <c r="H110" s="173"/>
    </row>
    <row r="111" ht="14.25" customHeight="1">
      <c r="F111" s="173"/>
      <c r="G111" s="173"/>
      <c r="H111" s="173"/>
    </row>
    <row r="112" ht="14.25" customHeight="1">
      <c r="F112" s="173"/>
      <c r="G112" s="173"/>
      <c r="H112" s="173"/>
    </row>
    <row r="113" ht="14.25" customHeight="1">
      <c r="F113" s="173"/>
      <c r="G113" s="173"/>
      <c r="H113" s="173"/>
    </row>
    <row r="114" ht="14.25" customHeight="1">
      <c r="F114" s="173"/>
      <c r="G114" s="173"/>
      <c r="H114" s="173"/>
    </row>
    <row r="115" ht="14.25" customHeight="1">
      <c r="F115" s="173"/>
      <c r="G115" s="173"/>
      <c r="H115" s="173"/>
    </row>
    <row r="116" ht="14.25" customHeight="1">
      <c r="F116" s="173"/>
      <c r="G116" s="173"/>
      <c r="H116" s="173"/>
    </row>
    <row r="117" ht="14.25" customHeight="1">
      <c r="F117" s="173"/>
      <c r="G117" s="173"/>
      <c r="H117" s="173"/>
    </row>
    <row r="118" ht="14.25" customHeight="1">
      <c r="F118" s="173"/>
      <c r="G118" s="173"/>
      <c r="H118" s="173"/>
    </row>
    <row r="119" ht="14.25" customHeight="1">
      <c r="F119" s="173"/>
      <c r="G119" s="173"/>
      <c r="H119" s="173"/>
    </row>
    <row r="120" ht="14.25" customHeight="1">
      <c r="F120" s="173"/>
      <c r="G120" s="173"/>
      <c r="H120" s="173"/>
    </row>
    <row r="121" ht="14.25" customHeight="1">
      <c r="F121" s="173"/>
      <c r="G121" s="173"/>
      <c r="H121" s="173"/>
    </row>
    <row r="122" ht="14.25" customHeight="1">
      <c r="F122" s="173"/>
      <c r="G122" s="173"/>
      <c r="H122" s="173"/>
    </row>
    <row r="123" ht="14.25" customHeight="1">
      <c r="F123" s="173"/>
      <c r="G123" s="173"/>
      <c r="H123" s="173"/>
    </row>
    <row r="124" ht="14.25" customHeight="1">
      <c r="F124" s="173"/>
      <c r="G124" s="173"/>
      <c r="H124" s="173"/>
    </row>
    <row r="125" ht="14.25" customHeight="1">
      <c r="F125" s="173"/>
      <c r="G125" s="173"/>
      <c r="H125" s="173"/>
    </row>
    <row r="126" ht="14.25" customHeight="1">
      <c r="F126" s="173"/>
      <c r="G126" s="173"/>
      <c r="H126" s="173"/>
    </row>
    <row r="127" ht="14.25" customHeight="1">
      <c r="F127" s="173"/>
      <c r="G127" s="173"/>
      <c r="H127" s="173"/>
    </row>
    <row r="128" ht="14.25" customHeight="1">
      <c r="F128" s="173"/>
      <c r="G128" s="173"/>
      <c r="H128" s="173"/>
    </row>
    <row r="129" ht="14.25" customHeight="1">
      <c r="F129" s="173"/>
      <c r="G129" s="173"/>
      <c r="H129" s="173"/>
    </row>
    <row r="130" ht="14.25" customHeight="1">
      <c r="F130" s="173"/>
      <c r="G130" s="173"/>
      <c r="H130" s="173"/>
    </row>
    <row r="131" ht="14.25" customHeight="1">
      <c r="F131" s="173"/>
      <c r="G131" s="173"/>
      <c r="H131" s="173"/>
    </row>
    <row r="132" ht="14.25" customHeight="1">
      <c r="F132" s="173"/>
      <c r="G132" s="173"/>
      <c r="H132" s="173"/>
    </row>
    <row r="133" ht="14.25" customHeight="1">
      <c r="F133" s="173"/>
      <c r="G133" s="173"/>
      <c r="H133" s="173"/>
    </row>
    <row r="134" ht="14.25" customHeight="1">
      <c r="F134" s="173"/>
      <c r="G134" s="173"/>
      <c r="H134" s="173"/>
    </row>
    <row r="135" ht="14.25" customHeight="1">
      <c r="F135" s="173"/>
      <c r="G135" s="173"/>
      <c r="H135" s="173"/>
    </row>
    <row r="136" ht="14.25" customHeight="1">
      <c r="F136" s="173"/>
      <c r="G136" s="173"/>
      <c r="H136" s="173"/>
    </row>
    <row r="137" ht="14.25" customHeight="1">
      <c r="F137" s="173"/>
      <c r="G137" s="173"/>
      <c r="H137" s="173"/>
    </row>
    <row r="138" ht="14.25" customHeight="1">
      <c r="F138" s="173"/>
      <c r="G138" s="173"/>
      <c r="H138" s="173"/>
    </row>
    <row r="139" ht="14.25" customHeight="1">
      <c r="F139" s="173"/>
      <c r="G139" s="173"/>
      <c r="H139" s="173"/>
    </row>
    <row r="140" ht="14.25" customHeight="1">
      <c r="F140" s="173"/>
      <c r="G140" s="173"/>
      <c r="H140" s="173"/>
    </row>
    <row r="141" ht="14.25" customHeight="1">
      <c r="F141" s="173"/>
      <c r="G141" s="173"/>
      <c r="H141" s="173"/>
    </row>
    <row r="142" ht="14.25" customHeight="1">
      <c r="F142" s="173"/>
      <c r="G142" s="173"/>
      <c r="H142" s="173"/>
    </row>
    <row r="143" ht="14.25" customHeight="1">
      <c r="F143" s="173"/>
      <c r="G143" s="173"/>
      <c r="H143" s="173"/>
    </row>
    <row r="144" ht="14.25" customHeight="1">
      <c r="F144" s="173"/>
      <c r="G144" s="173"/>
      <c r="H144" s="173"/>
    </row>
    <row r="145" ht="14.25" customHeight="1">
      <c r="F145" s="173"/>
      <c r="G145" s="173"/>
      <c r="H145" s="173"/>
    </row>
    <row r="146" ht="14.25" customHeight="1">
      <c r="F146" s="173"/>
      <c r="G146" s="173"/>
      <c r="H146" s="173"/>
    </row>
    <row r="147" ht="14.25" customHeight="1">
      <c r="F147" s="173"/>
      <c r="G147" s="173"/>
      <c r="H147" s="173"/>
    </row>
    <row r="148" ht="14.25" customHeight="1">
      <c r="F148" s="173"/>
      <c r="G148" s="173"/>
      <c r="H148" s="173"/>
    </row>
    <row r="149" ht="14.25" customHeight="1">
      <c r="F149" s="173"/>
      <c r="G149" s="173"/>
      <c r="H149" s="173"/>
    </row>
    <row r="150" ht="14.25" customHeight="1">
      <c r="F150" s="173"/>
      <c r="G150" s="173"/>
      <c r="H150" s="173"/>
    </row>
    <row r="151" ht="14.25" customHeight="1">
      <c r="F151" s="173"/>
      <c r="G151" s="173"/>
      <c r="H151" s="173"/>
    </row>
    <row r="152" ht="14.25" customHeight="1">
      <c r="F152" s="173"/>
      <c r="G152" s="173"/>
      <c r="H152" s="173"/>
    </row>
    <row r="153" ht="14.25" customHeight="1">
      <c r="F153" s="173"/>
      <c r="G153" s="173"/>
      <c r="H153" s="173"/>
    </row>
    <row r="154" ht="14.25" customHeight="1">
      <c r="F154" s="173"/>
      <c r="G154" s="173"/>
      <c r="H154" s="173"/>
    </row>
    <row r="155" ht="14.25" customHeight="1">
      <c r="F155" s="173"/>
      <c r="G155" s="173"/>
      <c r="H155" s="173"/>
    </row>
    <row r="156" ht="14.25" customHeight="1">
      <c r="F156" s="173"/>
      <c r="G156" s="173"/>
      <c r="H156" s="173"/>
    </row>
    <row r="157" ht="14.25" customHeight="1">
      <c r="F157" s="173"/>
      <c r="G157" s="173"/>
      <c r="H157" s="173"/>
    </row>
    <row r="158" ht="14.25" customHeight="1">
      <c r="F158" s="173"/>
      <c r="G158" s="173"/>
      <c r="H158" s="173"/>
    </row>
    <row r="159" ht="14.25" customHeight="1">
      <c r="F159" s="173"/>
      <c r="G159" s="173"/>
      <c r="H159" s="173"/>
    </row>
    <row r="160" ht="14.25" customHeight="1">
      <c r="F160" s="173"/>
      <c r="G160" s="173"/>
      <c r="H160" s="173"/>
    </row>
    <row r="161" ht="14.25" customHeight="1">
      <c r="F161" s="173"/>
      <c r="G161" s="173"/>
      <c r="H161" s="173"/>
    </row>
    <row r="162" ht="14.25" customHeight="1">
      <c r="F162" s="173"/>
      <c r="G162" s="173"/>
      <c r="H162" s="173"/>
    </row>
    <row r="163" ht="14.25" customHeight="1">
      <c r="F163" s="173"/>
      <c r="G163" s="173"/>
      <c r="H163" s="173"/>
    </row>
    <row r="164" ht="14.25" customHeight="1">
      <c r="F164" s="173"/>
      <c r="G164" s="173"/>
      <c r="H164" s="173"/>
    </row>
    <row r="165" ht="14.25" customHeight="1">
      <c r="F165" s="173"/>
      <c r="G165" s="173"/>
      <c r="H165" s="173"/>
    </row>
    <row r="166" ht="14.25" customHeight="1">
      <c r="F166" s="173"/>
      <c r="G166" s="173"/>
      <c r="H166" s="173"/>
    </row>
    <row r="167" ht="14.25" customHeight="1">
      <c r="F167" s="173"/>
      <c r="G167" s="173"/>
      <c r="H167" s="173"/>
    </row>
    <row r="168" ht="14.25" customHeight="1">
      <c r="F168" s="173"/>
      <c r="G168" s="173"/>
      <c r="H168" s="173"/>
    </row>
    <row r="169" ht="14.25" customHeight="1">
      <c r="F169" s="173"/>
      <c r="G169" s="173"/>
      <c r="H169" s="173"/>
    </row>
    <row r="170" ht="14.25" customHeight="1">
      <c r="F170" s="173"/>
      <c r="G170" s="173"/>
      <c r="H170" s="173"/>
    </row>
    <row r="171" ht="14.25" customHeight="1">
      <c r="F171" s="173"/>
      <c r="G171" s="173"/>
      <c r="H171" s="173"/>
    </row>
    <row r="172" ht="14.25" customHeight="1">
      <c r="F172" s="173"/>
      <c r="G172" s="173"/>
      <c r="H172" s="173"/>
    </row>
    <row r="173" ht="14.25" customHeight="1">
      <c r="F173" s="173"/>
      <c r="G173" s="173"/>
      <c r="H173" s="173"/>
    </row>
    <row r="174" ht="14.25" customHeight="1">
      <c r="F174" s="173"/>
      <c r="G174" s="173"/>
      <c r="H174" s="173"/>
    </row>
    <row r="175" ht="14.25" customHeight="1">
      <c r="F175" s="173"/>
      <c r="G175" s="173"/>
      <c r="H175" s="173"/>
    </row>
    <row r="176" ht="14.25" customHeight="1">
      <c r="F176" s="173"/>
      <c r="G176" s="173"/>
      <c r="H176" s="173"/>
    </row>
    <row r="177" ht="14.25" customHeight="1">
      <c r="F177" s="173"/>
      <c r="G177" s="173"/>
      <c r="H177" s="173"/>
    </row>
    <row r="178" ht="14.25" customHeight="1">
      <c r="F178" s="173"/>
      <c r="G178" s="173"/>
      <c r="H178" s="173"/>
    </row>
    <row r="179" ht="14.25" customHeight="1">
      <c r="F179" s="173"/>
      <c r="G179" s="173"/>
      <c r="H179" s="173"/>
    </row>
    <row r="180" ht="14.25" customHeight="1">
      <c r="F180" s="173"/>
      <c r="G180" s="173"/>
      <c r="H180" s="173"/>
    </row>
    <row r="181" ht="14.25" customHeight="1">
      <c r="F181" s="173"/>
      <c r="G181" s="173"/>
      <c r="H181" s="173"/>
    </row>
    <row r="182" ht="14.25" customHeight="1">
      <c r="F182" s="173"/>
      <c r="G182" s="173"/>
      <c r="H182" s="173"/>
    </row>
    <row r="183" ht="14.25" customHeight="1">
      <c r="F183" s="173"/>
      <c r="G183" s="173"/>
      <c r="H183" s="173"/>
    </row>
    <row r="184" ht="14.25" customHeight="1">
      <c r="F184" s="173"/>
      <c r="G184" s="173"/>
      <c r="H184" s="173"/>
    </row>
    <row r="185" ht="14.25" customHeight="1">
      <c r="F185" s="173"/>
      <c r="G185" s="173"/>
      <c r="H185" s="173"/>
    </row>
    <row r="186" ht="14.25" customHeight="1">
      <c r="F186" s="173"/>
      <c r="G186" s="173"/>
      <c r="H186" s="173"/>
    </row>
    <row r="187" ht="14.25" customHeight="1">
      <c r="F187" s="173"/>
      <c r="G187" s="173"/>
      <c r="H187" s="173"/>
    </row>
    <row r="188" ht="14.25" customHeight="1">
      <c r="F188" s="173"/>
      <c r="G188" s="173"/>
      <c r="H188" s="173"/>
    </row>
    <row r="189" ht="14.25" customHeight="1">
      <c r="F189" s="173"/>
      <c r="G189" s="173"/>
      <c r="H189" s="173"/>
    </row>
    <row r="190" ht="14.25" customHeight="1">
      <c r="F190" s="173"/>
      <c r="G190" s="173"/>
      <c r="H190" s="173"/>
    </row>
    <row r="191" ht="14.25" customHeight="1">
      <c r="F191" s="173"/>
      <c r="G191" s="173"/>
      <c r="H191" s="173"/>
    </row>
    <row r="192" ht="14.25" customHeight="1">
      <c r="F192" s="173"/>
      <c r="G192" s="173"/>
      <c r="H192" s="173"/>
    </row>
    <row r="193" ht="14.25" customHeight="1">
      <c r="F193" s="173"/>
      <c r="G193" s="173"/>
      <c r="H193" s="173"/>
    </row>
    <row r="194" ht="14.25" customHeight="1">
      <c r="F194" s="173"/>
      <c r="G194" s="173"/>
      <c r="H194" s="173"/>
    </row>
    <row r="195" ht="14.25" customHeight="1">
      <c r="F195" s="173"/>
      <c r="G195" s="173"/>
      <c r="H195" s="173"/>
    </row>
    <row r="196" ht="14.25" customHeight="1">
      <c r="F196" s="173"/>
      <c r="G196" s="173"/>
      <c r="H196" s="173"/>
    </row>
    <row r="197" ht="14.25" customHeight="1">
      <c r="F197" s="173"/>
      <c r="G197" s="173"/>
      <c r="H197" s="173"/>
    </row>
    <row r="198" ht="14.25" customHeight="1">
      <c r="F198" s="173"/>
      <c r="G198" s="173"/>
      <c r="H198" s="173"/>
    </row>
    <row r="199" ht="14.25" customHeight="1">
      <c r="F199" s="173"/>
      <c r="G199" s="173"/>
      <c r="H199" s="173"/>
    </row>
    <row r="200" ht="14.25" customHeight="1">
      <c r="F200" s="173"/>
      <c r="G200" s="173"/>
      <c r="H200" s="173"/>
    </row>
    <row r="201" ht="14.25" customHeight="1">
      <c r="F201" s="173"/>
      <c r="G201" s="173"/>
      <c r="H201" s="173"/>
    </row>
    <row r="202" ht="14.25" customHeight="1">
      <c r="F202" s="173"/>
      <c r="G202" s="173"/>
      <c r="H202" s="173"/>
    </row>
    <row r="203" ht="14.25" customHeight="1">
      <c r="F203" s="173"/>
      <c r="G203" s="173"/>
      <c r="H203" s="173"/>
    </row>
    <row r="204" ht="14.25" customHeight="1">
      <c r="F204" s="173"/>
      <c r="G204" s="173"/>
      <c r="H204" s="173"/>
    </row>
    <row r="205" ht="14.25" customHeight="1">
      <c r="F205" s="173"/>
      <c r="G205" s="173"/>
      <c r="H205" s="173"/>
    </row>
    <row r="206" ht="14.25" customHeight="1">
      <c r="F206" s="173"/>
      <c r="G206" s="173"/>
      <c r="H206" s="173"/>
    </row>
    <row r="207" ht="14.25" customHeight="1">
      <c r="F207" s="173"/>
      <c r="G207" s="173"/>
      <c r="H207" s="173"/>
    </row>
    <row r="208" ht="14.25" customHeight="1">
      <c r="F208" s="173"/>
      <c r="G208" s="173"/>
      <c r="H208" s="173"/>
    </row>
    <row r="209" ht="14.25" customHeight="1">
      <c r="F209" s="173"/>
      <c r="G209" s="173"/>
      <c r="H209" s="173"/>
    </row>
    <row r="210" ht="14.25" customHeight="1">
      <c r="F210" s="173"/>
      <c r="G210" s="173"/>
      <c r="H210" s="173"/>
    </row>
    <row r="211" ht="14.25" customHeight="1">
      <c r="F211" s="173"/>
      <c r="G211" s="173"/>
      <c r="H211" s="173"/>
    </row>
    <row r="212" ht="14.25" customHeight="1">
      <c r="F212" s="173"/>
      <c r="G212" s="173"/>
      <c r="H212" s="173"/>
    </row>
    <row r="213" ht="14.25" customHeight="1">
      <c r="F213" s="173"/>
      <c r="G213" s="173"/>
      <c r="H213" s="173"/>
    </row>
    <row r="214" ht="14.25" customHeight="1">
      <c r="F214" s="173"/>
      <c r="G214" s="173"/>
      <c r="H214" s="173"/>
    </row>
    <row r="215" ht="14.25" customHeight="1">
      <c r="F215" s="173"/>
      <c r="G215" s="173"/>
      <c r="H215" s="173"/>
    </row>
    <row r="216" ht="14.25" customHeight="1">
      <c r="F216" s="173"/>
      <c r="G216" s="173"/>
      <c r="H216" s="173"/>
    </row>
    <row r="217" ht="14.25" customHeight="1">
      <c r="F217" s="173"/>
      <c r="G217" s="173"/>
      <c r="H217" s="173"/>
    </row>
    <row r="218" ht="14.25" customHeight="1">
      <c r="F218" s="173"/>
      <c r="G218" s="173"/>
      <c r="H218" s="173"/>
    </row>
    <row r="219" ht="14.25" customHeight="1">
      <c r="F219" s="173"/>
      <c r="G219" s="173"/>
      <c r="H219" s="173"/>
    </row>
    <row r="220" ht="14.25" customHeight="1">
      <c r="F220" s="173"/>
      <c r="G220" s="173"/>
      <c r="H220" s="173"/>
    </row>
    <row r="221" ht="14.25" customHeight="1">
      <c r="F221" s="173"/>
      <c r="G221" s="173"/>
      <c r="H221" s="173"/>
    </row>
    <row r="222" ht="14.25" customHeight="1">
      <c r="F222" s="173"/>
      <c r="G222" s="173"/>
      <c r="H222" s="173"/>
    </row>
    <row r="223" ht="14.25" customHeight="1">
      <c r="F223" s="173"/>
      <c r="G223" s="173"/>
      <c r="H223" s="173"/>
    </row>
    <row r="224" ht="14.25" customHeight="1">
      <c r="F224" s="173"/>
      <c r="G224" s="173"/>
      <c r="H224" s="173"/>
    </row>
    <row r="225" ht="14.25" customHeight="1">
      <c r="F225" s="173"/>
      <c r="G225" s="173"/>
      <c r="H225" s="173"/>
    </row>
    <row r="226" ht="14.25" customHeight="1">
      <c r="F226" s="173"/>
      <c r="G226" s="173"/>
      <c r="H226" s="173"/>
    </row>
    <row r="227" ht="14.25" customHeight="1">
      <c r="F227" s="173"/>
      <c r="G227" s="173"/>
      <c r="H227" s="173"/>
    </row>
    <row r="228" ht="14.25" customHeight="1">
      <c r="F228" s="173"/>
      <c r="G228" s="173"/>
      <c r="H228" s="173"/>
    </row>
    <row r="229" ht="14.25" customHeight="1">
      <c r="F229" s="173"/>
      <c r="G229" s="173"/>
      <c r="H229" s="173"/>
    </row>
    <row r="230" ht="14.25" customHeight="1">
      <c r="F230" s="173"/>
      <c r="G230" s="173"/>
      <c r="H230" s="173"/>
    </row>
    <row r="231" ht="14.25" customHeight="1">
      <c r="F231" s="173"/>
      <c r="G231" s="173"/>
      <c r="H231" s="173"/>
    </row>
    <row r="232" ht="14.25" customHeight="1">
      <c r="F232" s="173"/>
      <c r="G232" s="173"/>
      <c r="H232" s="173"/>
    </row>
    <row r="233" ht="14.25" customHeight="1">
      <c r="F233" s="173"/>
      <c r="G233" s="173"/>
      <c r="H233" s="173"/>
    </row>
    <row r="234" ht="14.25" customHeight="1">
      <c r="F234" s="173"/>
      <c r="G234" s="173"/>
      <c r="H234" s="173"/>
    </row>
    <row r="235" ht="14.25" customHeight="1">
      <c r="F235" s="173"/>
      <c r="G235" s="173"/>
      <c r="H235" s="173"/>
    </row>
    <row r="236" ht="14.25" customHeight="1">
      <c r="F236" s="173"/>
      <c r="G236" s="173"/>
      <c r="H236" s="173"/>
    </row>
    <row r="237" ht="14.25" customHeight="1">
      <c r="F237" s="173"/>
      <c r="G237" s="173"/>
      <c r="H237" s="173"/>
    </row>
    <row r="238" ht="14.25" customHeight="1">
      <c r="F238" s="173"/>
      <c r="G238" s="173"/>
      <c r="H238" s="173"/>
    </row>
    <row r="239" ht="14.25" customHeight="1">
      <c r="F239" s="173"/>
      <c r="G239" s="173"/>
      <c r="H239" s="173"/>
    </row>
    <row r="240" ht="14.25" customHeight="1">
      <c r="F240" s="173"/>
      <c r="G240" s="173"/>
      <c r="H240" s="173"/>
    </row>
    <row r="241" ht="14.25" customHeight="1">
      <c r="F241" s="173"/>
      <c r="G241" s="173"/>
      <c r="H241" s="173"/>
    </row>
    <row r="242" ht="14.25" customHeight="1">
      <c r="F242" s="173"/>
      <c r="G242" s="173"/>
      <c r="H242" s="173"/>
    </row>
    <row r="243" ht="14.25" customHeight="1">
      <c r="F243" s="173"/>
      <c r="G243" s="173"/>
      <c r="H243" s="173"/>
    </row>
    <row r="244" ht="14.25" customHeight="1">
      <c r="F244" s="173"/>
      <c r="G244" s="173"/>
      <c r="H244" s="173"/>
    </row>
    <row r="245" ht="14.25" customHeight="1">
      <c r="F245" s="173"/>
      <c r="G245" s="173"/>
      <c r="H245" s="173"/>
    </row>
    <row r="246" ht="14.25" customHeight="1">
      <c r="F246" s="173"/>
      <c r="G246" s="173"/>
      <c r="H246" s="173"/>
    </row>
    <row r="247" ht="14.25" customHeight="1">
      <c r="F247" s="173"/>
      <c r="G247" s="173"/>
      <c r="H247" s="173"/>
    </row>
    <row r="248" ht="14.25" customHeight="1">
      <c r="F248" s="173"/>
      <c r="G248" s="173"/>
      <c r="H248" s="173"/>
    </row>
    <row r="249" ht="14.25" customHeight="1">
      <c r="F249" s="173"/>
      <c r="G249" s="173"/>
      <c r="H249" s="173"/>
    </row>
    <row r="250" ht="14.25" customHeight="1">
      <c r="F250" s="173"/>
      <c r="G250" s="173"/>
      <c r="H250" s="173"/>
    </row>
    <row r="251" ht="14.25" customHeight="1">
      <c r="F251" s="173"/>
      <c r="G251" s="173"/>
      <c r="H251" s="173"/>
    </row>
    <row r="252" ht="14.25" customHeight="1">
      <c r="F252" s="173"/>
      <c r="G252" s="173"/>
      <c r="H252" s="173"/>
    </row>
    <row r="253" ht="14.25" customHeight="1">
      <c r="F253" s="173"/>
      <c r="G253" s="173"/>
      <c r="H253" s="173"/>
    </row>
    <row r="254" ht="14.25" customHeight="1">
      <c r="F254" s="173"/>
      <c r="G254" s="173"/>
      <c r="H254" s="173"/>
    </row>
    <row r="255" ht="14.25" customHeight="1">
      <c r="F255" s="173"/>
      <c r="G255" s="173"/>
      <c r="H255" s="173"/>
    </row>
    <row r="256" ht="14.25" customHeight="1">
      <c r="F256" s="173"/>
      <c r="G256" s="173"/>
      <c r="H256" s="173"/>
    </row>
    <row r="257" ht="14.25" customHeight="1">
      <c r="F257" s="173"/>
      <c r="G257" s="173"/>
      <c r="H257" s="173"/>
    </row>
    <row r="258" ht="14.25" customHeight="1">
      <c r="F258" s="173"/>
      <c r="G258" s="173"/>
      <c r="H258" s="173"/>
    </row>
    <row r="259" ht="14.25" customHeight="1">
      <c r="F259" s="173"/>
      <c r="G259" s="173"/>
      <c r="H259" s="173"/>
    </row>
    <row r="260" ht="14.25" customHeight="1">
      <c r="F260" s="173"/>
      <c r="G260" s="173"/>
      <c r="H260" s="173"/>
    </row>
    <row r="261" ht="14.25" customHeight="1">
      <c r="F261" s="173"/>
      <c r="G261" s="173"/>
      <c r="H261" s="173"/>
    </row>
    <row r="262" ht="14.25" customHeight="1">
      <c r="F262" s="173"/>
      <c r="G262" s="173"/>
      <c r="H262" s="173"/>
    </row>
    <row r="263" ht="14.25" customHeight="1">
      <c r="F263" s="173"/>
      <c r="G263" s="173"/>
      <c r="H263" s="173"/>
    </row>
    <row r="264" ht="14.25" customHeight="1">
      <c r="F264" s="173"/>
      <c r="G264" s="173"/>
      <c r="H264" s="173"/>
    </row>
    <row r="265" ht="14.25" customHeight="1">
      <c r="F265" s="173"/>
      <c r="G265" s="173"/>
      <c r="H265" s="173"/>
    </row>
    <row r="266" ht="14.25" customHeight="1">
      <c r="F266" s="173"/>
      <c r="G266" s="173"/>
      <c r="H266" s="173"/>
    </row>
    <row r="267" ht="14.25" customHeight="1">
      <c r="F267" s="173"/>
      <c r="G267" s="173"/>
      <c r="H267" s="173"/>
    </row>
    <row r="268" ht="14.25" customHeight="1">
      <c r="F268" s="173"/>
      <c r="G268" s="173"/>
      <c r="H268" s="173"/>
    </row>
    <row r="269" ht="14.25" customHeight="1">
      <c r="F269" s="173"/>
      <c r="G269" s="173"/>
      <c r="H269" s="173"/>
    </row>
    <row r="270" ht="14.25" customHeight="1">
      <c r="F270" s="173"/>
      <c r="G270" s="173"/>
      <c r="H270" s="173"/>
    </row>
    <row r="271" ht="14.25" customHeight="1">
      <c r="F271" s="173"/>
      <c r="G271" s="173"/>
      <c r="H271" s="173"/>
    </row>
    <row r="272" ht="14.25" customHeight="1">
      <c r="F272" s="173"/>
      <c r="G272" s="173"/>
      <c r="H272" s="173"/>
    </row>
    <row r="273" ht="14.25" customHeight="1">
      <c r="F273" s="173"/>
      <c r="G273" s="173"/>
      <c r="H273" s="173"/>
    </row>
    <row r="274" ht="14.25" customHeight="1">
      <c r="F274" s="173"/>
      <c r="G274" s="173"/>
      <c r="H274" s="173"/>
    </row>
    <row r="275" ht="14.25" customHeight="1">
      <c r="F275" s="173"/>
      <c r="G275" s="173"/>
      <c r="H275" s="173"/>
    </row>
    <row r="276" ht="14.25" customHeight="1">
      <c r="F276" s="173"/>
      <c r="G276" s="173"/>
      <c r="H276" s="173"/>
    </row>
    <row r="277" ht="14.25" customHeight="1">
      <c r="F277" s="173"/>
      <c r="G277" s="173"/>
      <c r="H277" s="173"/>
    </row>
    <row r="278" ht="14.25" customHeight="1">
      <c r="F278" s="173"/>
      <c r="G278" s="173"/>
      <c r="H278" s="173"/>
    </row>
    <row r="279" ht="14.25" customHeight="1">
      <c r="F279" s="173"/>
      <c r="G279" s="173"/>
      <c r="H279" s="173"/>
    </row>
    <row r="280" ht="14.25" customHeight="1">
      <c r="F280" s="173"/>
      <c r="G280" s="173"/>
      <c r="H280" s="173"/>
    </row>
    <row r="281" ht="14.25" customHeight="1">
      <c r="F281" s="173"/>
      <c r="G281" s="173"/>
      <c r="H281" s="173"/>
    </row>
    <row r="282" ht="14.25" customHeight="1">
      <c r="F282" s="173"/>
      <c r="G282" s="173"/>
      <c r="H282" s="173"/>
    </row>
    <row r="283" ht="14.25" customHeight="1">
      <c r="F283" s="173"/>
      <c r="G283" s="173"/>
      <c r="H283" s="173"/>
    </row>
    <row r="284" ht="14.25" customHeight="1">
      <c r="F284" s="173"/>
      <c r="G284" s="173"/>
      <c r="H284" s="173"/>
    </row>
    <row r="285" ht="14.25" customHeight="1">
      <c r="F285" s="173"/>
      <c r="G285" s="173"/>
      <c r="H285" s="173"/>
    </row>
    <row r="286" ht="14.25" customHeight="1">
      <c r="F286" s="173"/>
      <c r="G286" s="173"/>
      <c r="H286" s="173"/>
    </row>
    <row r="287" ht="14.25" customHeight="1">
      <c r="F287" s="173"/>
      <c r="G287" s="173"/>
      <c r="H287" s="173"/>
    </row>
    <row r="288" ht="14.25" customHeight="1">
      <c r="F288" s="173"/>
      <c r="G288" s="173"/>
      <c r="H288" s="173"/>
    </row>
    <row r="289" ht="14.25" customHeight="1">
      <c r="F289" s="173"/>
      <c r="G289" s="173"/>
      <c r="H289" s="173"/>
    </row>
    <row r="290" ht="14.25" customHeight="1">
      <c r="F290" s="173"/>
      <c r="G290" s="173"/>
      <c r="H290" s="173"/>
    </row>
    <row r="291" ht="14.25" customHeight="1">
      <c r="F291" s="173"/>
      <c r="G291" s="173"/>
      <c r="H291" s="173"/>
    </row>
    <row r="292" ht="14.25" customHeight="1">
      <c r="F292" s="173"/>
      <c r="G292" s="173"/>
      <c r="H292" s="173"/>
    </row>
    <row r="293" ht="14.25" customHeight="1">
      <c r="F293" s="173"/>
      <c r="G293" s="173"/>
      <c r="H293" s="173"/>
    </row>
    <row r="294" ht="14.25" customHeight="1">
      <c r="F294" s="173"/>
      <c r="G294" s="173"/>
      <c r="H294" s="173"/>
    </row>
    <row r="295" ht="14.25" customHeight="1">
      <c r="F295" s="173"/>
      <c r="G295" s="173"/>
      <c r="H295" s="173"/>
    </row>
    <row r="296" ht="14.25" customHeight="1">
      <c r="F296" s="173"/>
      <c r="G296" s="173"/>
      <c r="H296" s="173"/>
    </row>
    <row r="297" ht="14.25" customHeight="1">
      <c r="F297" s="173"/>
      <c r="G297" s="173"/>
      <c r="H297" s="173"/>
    </row>
    <row r="298" ht="14.25" customHeight="1">
      <c r="F298" s="173"/>
      <c r="G298" s="173"/>
      <c r="H298" s="173"/>
    </row>
    <row r="299" ht="14.25" customHeight="1">
      <c r="F299" s="173"/>
      <c r="G299" s="173"/>
      <c r="H299" s="173"/>
    </row>
    <row r="300" ht="14.25" customHeight="1">
      <c r="F300" s="173"/>
      <c r="G300" s="173"/>
      <c r="H300" s="173"/>
    </row>
    <row r="301" ht="14.25" customHeight="1">
      <c r="F301" s="173"/>
      <c r="G301" s="173"/>
      <c r="H301" s="173"/>
    </row>
    <row r="302" ht="14.25" customHeight="1">
      <c r="F302" s="173"/>
      <c r="G302" s="173"/>
      <c r="H302" s="173"/>
    </row>
    <row r="303" ht="14.25" customHeight="1">
      <c r="F303" s="173"/>
      <c r="G303" s="173"/>
      <c r="H303" s="173"/>
    </row>
    <row r="304" ht="14.25" customHeight="1">
      <c r="F304" s="173"/>
      <c r="G304" s="173"/>
      <c r="H304" s="173"/>
    </row>
    <row r="305" ht="14.25" customHeight="1">
      <c r="F305" s="173"/>
      <c r="G305" s="173"/>
      <c r="H305" s="173"/>
    </row>
    <row r="306" ht="14.25" customHeight="1">
      <c r="F306" s="173"/>
      <c r="G306" s="173"/>
      <c r="H306" s="173"/>
    </row>
    <row r="307" ht="14.25" customHeight="1">
      <c r="F307" s="173"/>
      <c r="G307" s="173"/>
      <c r="H307" s="173"/>
    </row>
    <row r="308" ht="14.25" customHeight="1">
      <c r="F308" s="173"/>
      <c r="G308" s="173"/>
      <c r="H308" s="173"/>
    </row>
    <row r="309" ht="14.25" customHeight="1">
      <c r="F309" s="173"/>
      <c r="G309" s="173"/>
      <c r="H309" s="173"/>
    </row>
    <row r="310" ht="14.25" customHeight="1">
      <c r="F310" s="173"/>
      <c r="G310" s="173"/>
      <c r="H310" s="173"/>
    </row>
    <row r="311" ht="14.25" customHeight="1">
      <c r="F311" s="173"/>
      <c r="G311" s="173"/>
      <c r="H311" s="173"/>
    </row>
    <row r="312" ht="14.25" customHeight="1">
      <c r="F312" s="173"/>
      <c r="G312" s="173"/>
      <c r="H312" s="173"/>
    </row>
    <row r="313" ht="14.25" customHeight="1">
      <c r="F313" s="173"/>
      <c r="G313" s="173"/>
      <c r="H313" s="173"/>
    </row>
    <row r="314" ht="14.25" customHeight="1">
      <c r="F314" s="173"/>
      <c r="G314" s="173"/>
      <c r="H314" s="173"/>
    </row>
    <row r="315" ht="14.25" customHeight="1">
      <c r="F315" s="173"/>
      <c r="G315" s="173"/>
      <c r="H315" s="173"/>
    </row>
    <row r="316" ht="14.25" customHeight="1">
      <c r="F316" s="173"/>
      <c r="G316" s="173"/>
      <c r="H316" s="173"/>
    </row>
    <row r="317" ht="14.25" customHeight="1">
      <c r="F317" s="173"/>
      <c r="G317" s="173"/>
      <c r="H317" s="173"/>
    </row>
    <row r="318" ht="14.25" customHeight="1">
      <c r="F318" s="173"/>
      <c r="G318" s="173"/>
      <c r="H318" s="173"/>
    </row>
    <row r="319" ht="14.25" customHeight="1">
      <c r="F319" s="173"/>
      <c r="G319" s="173"/>
      <c r="H319" s="173"/>
    </row>
    <row r="320" ht="14.25" customHeight="1">
      <c r="F320" s="173"/>
      <c r="G320" s="173"/>
      <c r="H320" s="173"/>
    </row>
    <row r="321" ht="14.25" customHeight="1">
      <c r="F321" s="173"/>
      <c r="G321" s="173"/>
      <c r="H321" s="173"/>
    </row>
    <row r="322" ht="14.25" customHeight="1">
      <c r="F322" s="173"/>
      <c r="G322" s="173"/>
      <c r="H322" s="173"/>
    </row>
    <row r="323" ht="14.25" customHeight="1">
      <c r="F323" s="173"/>
      <c r="G323" s="173"/>
      <c r="H323" s="173"/>
    </row>
    <row r="324" ht="14.25" customHeight="1">
      <c r="F324" s="173"/>
      <c r="G324" s="173"/>
      <c r="H324" s="173"/>
    </row>
    <row r="325" ht="14.25" customHeight="1">
      <c r="F325" s="173"/>
      <c r="G325" s="173"/>
      <c r="H325" s="173"/>
    </row>
    <row r="326" ht="14.25" customHeight="1">
      <c r="F326" s="173"/>
      <c r="G326" s="173"/>
      <c r="H326" s="173"/>
    </row>
    <row r="327" ht="14.25" customHeight="1">
      <c r="F327" s="173"/>
      <c r="G327" s="173"/>
      <c r="H327" s="173"/>
    </row>
    <row r="328" ht="14.25" customHeight="1">
      <c r="F328" s="173"/>
      <c r="G328" s="173"/>
      <c r="H328" s="173"/>
    </row>
    <row r="329" ht="14.25" customHeight="1">
      <c r="F329" s="173"/>
      <c r="G329" s="173"/>
      <c r="H329" s="173"/>
    </row>
    <row r="330" ht="14.25" customHeight="1">
      <c r="F330" s="173"/>
      <c r="G330" s="173"/>
      <c r="H330" s="173"/>
    </row>
    <row r="331" ht="14.25" customHeight="1">
      <c r="F331" s="173"/>
      <c r="G331" s="173"/>
      <c r="H331" s="173"/>
    </row>
    <row r="332" ht="14.25" customHeight="1">
      <c r="F332" s="173"/>
      <c r="G332" s="173"/>
      <c r="H332" s="173"/>
    </row>
    <row r="333" ht="14.25" customHeight="1">
      <c r="F333" s="173"/>
      <c r="G333" s="173"/>
      <c r="H333" s="173"/>
    </row>
    <row r="334" ht="14.25" customHeight="1">
      <c r="F334" s="173"/>
      <c r="G334" s="173"/>
      <c r="H334" s="173"/>
    </row>
    <row r="335" ht="14.25" customHeight="1">
      <c r="F335" s="173"/>
      <c r="G335" s="173"/>
      <c r="H335" s="173"/>
    </row>
    <row r="336" ht="14.25" customHeight="1">
      <c r="F336" s="173"/>
      <c r="G336" s="173"/>
      <c r="H336" s="173"/>
    </row>
    <row r="337" ht="14.25" customHeight="1">
      <c r="F337" s="173"/>
      <c r="G337" s="173"/>
      <c r="H337" s="173"/>
    </row>
    <row r="338" ht="14.25" customHeight="1">
      <c r="F338" s="173"/>
      <c r="G338" s="173"/>
      <c r="H338" s="173"/>
    </row>
    <row r="339" ht="14.25" customHeight="1">
      <c r="F339" s="173"/>
      <c r="G339" s="173"/>
      <c r="H339" s="173"/>
    </row>
    <row r="340" ht="14.25" customHeight="1">
      <c r="F340" s="173"/>
      <c r="G340" s="173"/>
      <c r="H340" s="173"/>
    </row>
    <row r="341" ht="14.25" customHeight="1">
      <c r="F341" s="173"/>
      <c r="G341" s="173"/>
      <c r="H341" s="173"/>
    </row>
    <row r="342" ht="14.25" customHeight="1">
      <c r="F342" s="173"/>
      <c r="G342" s="173"/>
      <c r="H342" s="173"/>
    </row>
    <row r="343" ht="14.25" customHeight="1">
      <c r="F343" s="173"/>
      <c r="G343" s="173"/>
      <c r="H343" s="173"/>
    </row>
    <row r="344" ht="14.25" customHeight="1">
      <c r="F344" s="173"/>
      <c r="G344" s="173"/>
      <c r="H344" s="173"/>
    </row>
    <row r="345" ht="14.25" customHeight="1">
      <c r="F345" s="173"/>
      <c r="G345" s="173"/>
      <c r="H345" s="173"/>
    </row>
    <row r="346" ht="14.25" customHeight="1">
      <c r="F346" s="173"/>
      <c r="G346" s="173"/>
      <c r="H346" s="173"/>
    </row>
    <row r="347" ht="14.25" customHeight="1">
      <c r="F347" s="173"/>
      <c r="G347" s="173"/>
      <c r="H347" s="173"/>
    </row>
    <row r="348" ht="14.25" customHeight="1">
      <c r="F348" s="173"/>
      <c r="G348" s="173"/>
      <c r="H348" s="173"/>
    </row>
    <row r="349" ht="14.25" customHeight="1">
      <c r="F349" s="173"/>
      <c r="G349" s="173"/>
      <c r="H349" s="173"/>
    </row>
    <row r="350" ht="14.25" customHeight="1">
      <c r="F350" s="173"/>
      <c r="G350" s="173"/>
      <c r="H350" s="173"/>
    </row>
    <row r="351" ht="14.25" customHeight="1">
      <c r="F351" s="173"/>
      <c r="G351" s="173"/>
      <c r="H351" s="173"/>
    </row>
    <row r="352" ht="14.25" customHeight="1">
      <c r="F352" s="173"/>
      <c r="G352" s="173"/>
      <c r="H352" s="173"/>
    </row>
    <row r="353" ht="14.25" customHeight="1">
      <c r="F353" s="173"/>
      <c r="G353" s="173"/>
      <c r="H353" s="173"/>
    </row>
    <row r="354" ht="14.25" customHeight="1">
      <c r="F354" s="173"/>
      <c r="G354" s="173"/>
      <c r="H354" s="173"/>
    </row>
    <row r="355" ht="14.25" customHeight="1">
      <c r="F355" s="173"/>
      <c r="G355" s="173"/>
      <c r="H355" s="173"/>
    </row>
    <row r="356" ht="14.25" customHeight="1">
      <c r="F356" s="173"/>
      <c r="G356" s="173"/>
      <c r="H356" s="173"/>
    </row>
    <row r="357" ht="14.25" customHeight="1">
      <c r="F357" s="173"/>
      <c r="G357" s="173"/>
      <c r="H357" s="173"/>
    </row>
    <row r="358" ht="14.25" customHeight="1">
      <c r="F358" s="173"/>
      <c r="G358" s="173"/>
      <c r="H358" s="173"/>
    </row>
    <row r="359" ht="14.25" customHeight="1">
      <c r="F359" s="173"/>
      <c r="G359" s="173"/>
      <c r="H359" s="173"/>
    </row>
    <row r="360" ht="14.25" customHeight="1">
      <c r="F360" s="173"/>
      <c r="G360" s="173"/>
      <c r="H360" s="173"/>
    </row>
    <row r="361" ht="14.25" customHeight="1">
      <c r="F361" s="173"/>
      <c r="G361" s="173"/>
      <c r="H361" s="173"/>
    </row>
    <row r="362" ht="14.25" customHeight="1">
      <c r="F362" s="173"/>
      <c r="G362" s="173"/>
      <c r="H362" s="173"/>
    </row>
    <row r="363" ht="14.25" customHeight="1">
      <c r="F363" s="173"/>
      <c r="G363" s="173"/>
      <c r="H363" s="173"/>
    </row>
    <row r="364" ht="14.25" customHeight="1">
      <c r="F364" s="173"/>
      <c r="G364" s="173"/>
      <c r="H364" s="173"/>
    </row>
    <row r="365" ht="14.25" customHeight="1">
      <c r="F365" s="173"/>
      <c r="G365" s="173"/>
      <c r="H365" s="173"/>
    </row>
    <row r="366" ht="14.25" customHeight="1">
      <c r="F366" s="173"/>
      <c r="G366" s="173"/>
      <c r="H366" s="173"/>
    </row>
    <row r="367" ht="14.25" customHeight="1">
      <c r="F367" s="173"/>
      <c r="G367" s="173"/>
      <c r="H367" s="173"/>
    </row>
    <row r="368" ht="14.25" customHeight="1">
      <c r="F368" s="173"/>
      <c r="G368" s="173"/>
      <c r="H368" s="173"/>
    </row>
    <row r="369" ht="14.25" customHeight="1">
      <c r="F369" s="173"/>
      <c r="G369" s="173"/>
      <c r="H369" s="173"/>
    </row>
    <row r="370" ht="14.25" customHeight="1">
      <c r="F370" s="173"/>
      <c r="G370" s="173"/>
      <c r="H370" s="173"/>
    </row>
    <row r="371" ht="14.25" customHeight="1">
      <c r="F371" s="173"/>
      <c r="G371" s="173"/>
      <c r="H371" s="173"/>
    </row>
    <row r="372" ht="14.25" customHeight="1">
      <c r="F372" s="173"/>
      <c r="G372" s="173"/>
      <c r="H372" s="173"/>
    </row>
    <row r="373" ht="14.25" customHeight="1">
      <c r="F373" s="173"/>
      <c r="G373" s="173"/>
      <c r="H373" s="173"/>
    </row>
    <row r="374" ht="14.25" customHeight="1">
      <c r="F374" s="173"/>
      <c r="G374" s="173"/>
      <c r="H374" s="173"/>
    </row>
    <row r="375" ht="14.25" customHeight="1">
      <c r="F375" s="173"/>
      <c r="G375" s="173"/>
      <c r="H375" s="173"/>
    </row>
    <row r="376" ht="14.25" customHeight="1">
      <c r="F376" s="173"/>
      <c r="G376" s="173"/>
      <c r="H376" s="173"/>
    </row>
    <row r="377" ht="14.25" customHeight="1">
      <c r="F377" s="173"/>
      <c r="G377" s="173"/>
      <c r="H377" s="173"/>
    </row>
    <row r="378" ht="14.25" customHeight="1">
      <c r="F378" s="173"/>
      <c r="G378" s="173"/>
      <c r="H378" s="173"/>
    </row>
    <row r="379" ht="14.25" customHeight="1">
      <c r="F379" s="173"/>
      <c r="G379" s="173"/>
      <c r="H379" s="173"/>
    </row>
    <row r="380" ht="14.25" customHeight="1">
      <c r="F380" s="173"/>
      <c r="G380" s="173"/>
      <c r="H380" s="173"/>
    </row>
    <row r="381" ht="14.25" customHeight="1">
      <c r="F381" s="173"/>
      <c r="G381" s="173"/>
      <c r="H381" s="173"/>
    </row>
    <row r="382" ht="14.25" customHeight="1">
      <c r="F382" s="173"/>
      <c r="G382" s="173"/>
      <c r="H382" s="173"/>
    </row>
    <row r="383" ht="14.25" customHeight="1">
      <c r="F383" s="173"/>
      <c r="G383" s="173"/>
      <c r="H383" s="173"/>
    </row>
    <row r="384" ht="14.25" customHeight="1">
      <c r="F384" s="173"/>
      <c r="G384" s="173"/>
      <c r="H384" s="173"/>
    </row>
    <row r="385" ht="14.25" customHeight="1">
      <c r="F385" s="173"/>
      <c r="G385" s="173"/>
      <c r="H385" s="173"/>
    </row>
    <row r="386" ht="14.25" customHeight="1">
      <c r="F386" s="173"/>
      <c r="G386" s="173"/>
      <c r="H386" s="173"/>
    </row>
    <row r="387" ht="14.25" customHeight="1">
      <c r="F387" s="173"/>
      <c r="G387" s="173"/>
      <c r="H387" s="173"/>
    </row>
    <row r="388" ht="14.25" customHeight="1">
      <c r="F388" s="173"/>
      <c r="G388" s="173"/>
      <c r="H388" s="173"/>
    </row>
    <row r="389" ht="14.25" customHeight="1">
      <c r="F389" s="173"/>
      <c r="G389" s="173"/>
      <c r="H389" s="173"/>
    </row>
    <row r="390" ht="14.25" customHeight="1">
      <c r="F390" s="173"/>
      <c r="G390" s="173"/>
      <c r="H390" s="173"/>
    </row>
    <row r="391" ht="14.25" customHeight="1">
      <c r="F391" s="173"/>
      <c r="G391" s="173"/>
      <c r="H391" s="173"/>
    </row>
    <row r="392" ht="14.25" customHeight="1">
      <c r="F392" s="173"/>
      <c r="G392" s="173"/>
      <c r="H392" s="173"/>
    </row>
    <row r="393" ht="14.25" customHeight="1">
      <c r="F393" s="173"/>
      <c r="G393" s="173"/>
      <c r="H393" s="173"/>
    </row>
    <row r="394" ht="14.25" customHeight="1">
      <c r="F394" s="173"/>
      <c r="G394" s="173"/>
      <c r="H394" s="173"/>
    </row>
    <row r="395" ht="14.25" customHeight="1">
      <c r="F395" s="173"/>
      <c r="G395" s="173"/>
      <c r="H395" s="173"/>
    </row>
    <row r="396" ht="14.25" customHeight="1">
      <c r="F396" s="173"/>
      <c r="G396" s="173"/>
      <c r="H396" s="173"/>
    </row>
    <row r="397" ht="14.25" customHeight="1">
      <c r="F397" s="173"/>
      <c r="G397" s="173"/>
      <c r="H397" s="173"/>
    </row>
    <row r="398" ht="14.25" customHeight="1">
      <c r="F398" s="173"/>
      <c r="G398" s="173"/>
      <c r="H398" s="173"/>
    </row>
    <row r="399" ht="14.25" customHeight="1">
      <c r="F399" s="173"/>
      <c r="G399" s="173"/>
      <c r="H399" s="173"/>
    </row>
    <row r="400" ht="14.25" customHeight="1">
      <c r="F400" s="173"/>
      <c r="G400" s="173"/>
      <c r="H400" s="173"/>
    </row>
    <row r="401" ht="14.25" customHeight="1">
      <c r="F401" s="173"/>
      <c r="G401" s="173"/>
      <c r="H401" s="173"/>
    </row>
    <row r="402" ht="14.25" customHeight="1">
      <c r="F402" s="173"/>
      <c r="G402" s="173"/>
      <c r="H402" s="173"/>
    </row>
    <row r="403" ht="14.25" customHeight="1">
      <c r="F403" s="173"/>
      <c r="G403" s="173"/>
      <c r="H403" s="173"/>
    </row>
    <row r="404" ht="14.25" customHeight="1">
      <c r="F404" s="173"/>
      <c r="G404" s="173"/>
      <c r="H404" s="173"/>
    </row>
    <row r="405" ht="14.25" customHeight="1">
      <c r="F405" s="173"/>
      <c r="G405" s="173"/>
      <c r="H405" s="173"/>
    </row>
    <row r="406" ht="14.25" customHeight="1">
      <c r="F406" s="173"/>
      <c r="G406" s="173"/>
      <c r="H406" s="173"/>
    </row>
    <row r="407" ht="14.25" customHeight="1">
      <c r="F407" s="173"/>
      <c r="G407" s="173"/>
      <c r="H407" s="173"/>
    </row>
    <row r="408" ht="14.25" customHeight="1">
      <c r="F408" s="173"/>
      <c r="G408" s="173"/>
      <c r="H408" s="173"/>
    </row>
    <row r="409" ht="14.25" customHeight="1">
      <c r="F409" s="173"/>
      <c r="G409" s="173"/>
      <c r="H409" s="173"/>
    </row>
    <row r="410" ht="14.25" customHeight="1">
      <c r="F410" s="173"/>
      <c r="G410" s="173"/>
      <c r="H410" s="173"/>
    </row>
    <row r="411" ht="14.25" customHeight="1">
      <c r="F411" s="173"/>
      <c r="G411" s="173"/>
      <c r="H411" s="173"/>
    </row>
    <row r="412" ht="14.25" customHeight="1">
      <c r="F412" s="173"/>
      <c r="G412" s="173"/>
      <c r="H412" s="173"/>
    </row>
    <row r="413" ht="14.25" customHeight="1">
      <c r="F413" s="173"/>
      <c r="G413" s="173"/>
      <c r="H413" s="173"/>
    </row>
    <row r="414" ht="14.25" customHeight="1">
      <c r="F414" s="173"/>
      <c r="G414" s="173"/>
      <c r="H414" s="173"/>
    </row>
    <row r="415" ht="14.25" customHeight="1">
      <c r="F415" s="173"/>
      <c r="G415" s="173"/>
      <c r="H415" s="173"/>
    </row>
    <row r="416" ht="14.25" customHeight="1">
      <c r="F416" s="173"/>
      <c r="G416" s="173"/>
      <c r="H416" s="173"/>
    </row>
    <row r="417" ht="14.25" customHeight="1">
      <c r="F417" s="173"/>
      <c r="G417" s="173"/>
      <c r="H417" s="173"/>
    </row>
    <row r="418" ht="14.25" customHeight="1">
      <c r="F418" s="173"/>
      <c r="G418" s="173"/>
      <c r="H418" s="173"/>
    </row>
    <row r="419" ht="14.25" customHeight="1">
      <c r="F419" s="173"/>
      <c r="G419" s="173"/>
      <c r="H419" s="173"/>
    </row>
    <row r="420" ht="14.25" customHeight="1">
      <c r="F420" s="173"/>
      <c r="G420" s="173"/>
      <c r="H420" s="173"/>
    </row>
    <row r="421" ht="14.25" customHeight="1">
      <c r="F421" s="173"/>
      <c r="G421" s="173"/>
      <c r="H421" s="173"/>
    </row>
    <row r="422" ht="14.25" customHeight="1">
      <c r="F422" s="173"/>
      <c r="G422" s="173"/>
      <c r="H422" s="173"/>
    </row>
    <row r="423" ht="14.25" customHeight="1">
      <c r="F423" s="173"/>
      <c r="G423" s="173"/>
      <c r="H423" s="173"/>
    </row>
    <row r="424" ht="14.25" customHeight="1">
      <c r="F424" s="173"/>
      <c r="G424" s="173"/>
      <c r="H424" s="173"/>
    </row>
    <row r="425" ht="14.25" customHeight="1">
      <c r="F425" s="173"/>
      <c r="G425" s="173"/>
      <c r="H425" s="173"/>
    </row>
    <row r="426" ht="14.25" customHeight="1">
      <c r="F426" s="173"/>
      <c r="G426" s="173"/>
      <c r="H426" s="173"/>
    </row>
    <row r="427" ht="14.25" customHeight="1">
      <c r="F427" s="173"/>
      <c r="G427" s="173"/>
      <c r="H427" s="173"/>
    </row>
    <row r="428" ht="14.25" customHeight="1">
      <c r="F428" s="173"/>
      <c r="G428" s="173"/>
      <c r="H428" s="173"/>
    </row>
    <row r="429" ht="14.25" customHeight="1">
      <c r="F429" s="173"/>
      <c r="G429" s="173"/>
      <c r="H429" s="173"/>
    </row>
    <row r="430" ht="14.25" customHeight="1">
      <c r="F430" s="173"/>
      <c r="G430" s="173"/>
      <c r="H430" s="173"/>
    </row>
    <row r="431" ht="14.25" customHeight="1">
      <c r="F431" s="173"/>
      <c r="G431" s="173"/>
      <c r="H431" s="173"/>
    </row>
    <row r="432" ht="14.25" customHeight="1">
      <c r="F432" s="173"/>
      <c r="G432" s="173"/>
      <c r="H432" s="173"/>
    </row>
    <row r="433" ht="14.25" customHeight="1">
      <c r="F433" s="173"/>
      <c r="G433" s="173"/>
      <c r="H433" s="173"/>
    </row>
    <row r="434" ht="14.25" customHeight="1">
      <c r="F434" s="173"/>
      <c r="G434" s="173"/>
      <c r="H434" s="173"/>
    </row>
    <row r="435" ht="14.25" customHeight="1">
      <c r="F435" s="173"/>
      <c r="G435" s="173"/>
      <c r="H435" s="173"/>
    </row>
    <row r="436" ht="14.25" customHeight="1">
      <c r="F436" s="173"/>
      <c r="G436" s="173"/>
      <c r="H436" s="173"/>
    </row>
    <row r="437" ht="14.25" customHeight="1">
      <c r="F437" s="173"/>
      <c r="G437" s="173"/>
      <c r="H437" s="173"/>
    </row>
    <row r="438" ht="14.25" customHeight="1">
      <c r="F438" s="173"/>
      <c r="G438" s="173"/>
      <c r="H438" s="173"/>
    </row>
    <row r="439" ht="14.25" customHeight="1">
      <c r="F439" s="173"/>
      <c r="G439" s="173"/>
      <c r="H439" s="173"/>
    </row>
    <row r="440" ht="14.25" customHeight="1">
      <c r="F440" s="173"/>
      <c r="G440" s="173"/>
      <c r="H440" s="173"/>
    </row>
    <row r="441" ht="14.25" customHeight="1">
      <c r="F441" s="173"/>
      <c r="G441" s="173"/>
      <c r="H441" s="173"/>
    </row>
    <row r="442" ht="14.25" customHeight="1">
      <c r="F442" s="173"/>
      <c r="G442" s="173"/>
      <c r="H442" s="173"/>
    </row>
    <row r="443" ht="14.25" customHeight="1">
      <c r="F443" s="173"/>
      <c r="G443" s="173"/>
      <c r="H443" s="173"/>
    </row>
    <row r="444" ht="14.25" customHeight="1">
      <c r="F444" s="173"/>
      <c r="G444" s="173"/>
      <c r="H444" s="173"/>
    </row>
    <row r="445" ht="14.25" customHeight="1">
      <c r="F445" s="173"/>
      <c r="G445" s="173"/>
      <c r="H445" s="173"/>
    </row>
    <row r="446" ht="14.25" customHeight="1">
      <c r="F446" s="173"/>
      <c r="G446" s="173"/>
      <c r="H446" s="173"/>
    </row>
    <row r="447" ht="14.25" customHeight="1">
      <c r="F447" s="173"/>
      <c r="G447" s="173"/>
      <c r="H447" s="173"/>
    </row>
    <row r="448" ht="14.25" customHeight="1">
      <c r="F448" s="173"/>
      <c r="G448" s="173"/>
      <c r="H448" s="173"/>
    </row>
    <row r="449" ht="14.25" customHeight="1">
      <c r="F449" s="173"/>
      <c r="G449" s="173"/>
      <c r="H449" s="173"/>
    </row>
    <row r="450" ht="14.25" customHeight="1">
      <c r="F450" s="173"/>
      <c r="G450" s="173"/>
      <c r="H450" s="173"/>
    </row>
    <row r="451" ht="14.25" customHeight="1">
      <c r="F451" s="173"/>
      <c r="G451" s="173"/>
      <c r="H451" s="173"/>
    </row>
    <row r="452" ht="14.25" customHeight="1">
      <c r="F452" s="173"/>
      <c r="G452" s="173"/>
      <c r="H452" s="173"/>
    </row>
    <row r="453" ht="14.25" customHeight="1">
      <c r="F453" s="173"/>
      <c r="G453" s="173"/>
      <c r="H453" s="173"/>
    </row>
    <row r="454" ht="14.25" customHeight="1">
      <c r="F454" s="173"/>
      <c r="G454" s="173"/>
      <c r="H454" s="173"/>
    </row>
    <row r="455" ht="14.25" customHeight="1">
      <c r="F455" s="173"/>
      <c r="G455" s="173"/>
      <c r="H455" s="173"/>
    </row>
    <row r="456" ht="14.25" customHeight="1">
      <c r="F456" s="173"/>
      <c r="G456" s="173"/>
      <c r="H456" s="173"/>
    </row>
    <row r="457" ht="14.25" customHeight="1">
      <c r="F457" s="173"/>
      <c r="G457" s="173"/>
      <c r="H457" s="173"/>
    </row>
    <row r="458" ht="14.25" customHeight="1">
      <c r="F458" s="173"/>
      <c r="G458" s="173"/>
      <c r="H458" s="173"/>
    </row>
    <row r="459" ht="14.25" customHeight="1">
      <c r="F459" s="173"/>
      <c r="G459" s="173"/>
      <c r="H459" s="173"/>
    </row>
    <row r="460" ht="14.25" customHeight="1">
      <c r="F460" s="173"/>
      <c r="G460" s="173"/>
      <c r="H460" s="173"/>
    </row>
    <row r="461" ht="14.25" customHeight="1">
      <c r="F461" s="173"/>
      <c r="G461" s="173"/>
      <c r="H461" s="173"/>
    </row>
    <row r="462" ht="14.25" customHeight="1">
      <c r="F462" s="173"/>
      <c r="G462" s="173"/>
      <c r="H462" s="173"/>
    </row>
    <row r="463" ht="14.25" customHeight="1">
      <c r="F463" s="173"/>
      <c r="G463" s="173"/>
      <c r="H463" s="173"/>
    </row>
    <row r="464" ht="14.25" customHeight="1">
      <c r="F464" s="173"/>
      <c r="G464" s="173"/>
      <c r="H464" s="173"/>
    </row>
    <row r="465" ht="14.25" customHeight="1">
      <c r="F465" s="173"/>
      <c r="G465" s="173"/>
      <c r="H465" s="173"/>
    </row>
    <row r="466" ht="14.25" customHeight="1">
      <c r="F466" s="173"/>
      <c r="G466" s="173"/>
      <c r="H466" s="173"/>
    </row>
    <row r="467" ht="14.25" customHeight="1">
      <c r="F467" s="173"/>
      <c r="G467" s="173"/>
      <c r="H467" s="173"/>
    </row>
    <row r="468" ht="14.25" customHeight="1">
      <c r="F468" s="173"/>
      <c r="G468" s="173"/>
      <c r="H468" s="173"/>
    </row>
    <row r="469" ht="14.25" customHeight="1">
      <c r="F469" s="173"/>
      <c r="G469" s="173"/>
      <c r="H469" s="173"/>
    </row>
    <row r="470" ht="14.25" customHeight="1">
      <c r="F470" s="173"/>
      <c r="G470" s="173"/>
      <c r="H470" s="173"/>
    </row>
    <row r="471" ht="14.25" customHeight="1">
      <c r="F471" s="173"/>
      <c r="G471" s="173"/>
      <c r="H471" s="173"/>
    </row>
    <row r="472" ht="14.25" customHeight="1">
      <c r="F472" s="173"/>
      <c r="G472" s="173"/>
      <c r="H472" s="173"/>
    </row>
    <row r="473" ht="14.25" customHeight="1">
      <c r="F473" s="173"/>
      <c r="G473" s="173"/>
      <c r="H473" s="173"/>
    </row>
    <row r="474" ht="14.25" customHeight="1">
      <c r="F474" s="173"/>
      <c r="G474" s="173"/>
      <c r="H474" s="173"/>
    </row>
    <row r="475" ht="14.25" customHeight="1">
      <c r="F475" s="173"/>
      <c r="G475" s="173"/>
      <c r="H475" s="173"/>
    </row>
    <row r="476" ht="14.25" customHeight="1">
      <c r="F476" s="173"/>
      <c r="G476" s="173"/>
      <c r="H476" s="173"/>
    </row>
    <row r="477" ht="14.25" customHeight="1">
      <c r="F477" s="173"/>
      <c r="G477" s="173"/>
      <c r="H477" s="173"/>
    </row>
    <row r="478" ht="14.25" customHeight="1">
      <c r="F478" s="173"/>
      <c r="G478" s="173"/>
      <c r="H478" s="173"/>
    </row>
    <row r="479" ht="14.25" customHeight="1">
      <c r="F479" s="173"/>
      <c r="G479" s="173"/>
      <c r="H479" s="173"/>
    </row>
    <row r="480" ht="14.25" customHeight="1">
      <c r="F480" s="173"/>
      <c r="G480" s="173"/>
      <c r="H480" s="173"/>
    </row>
    <row r="481" ht="14.25" customHeight="1">
      <c r="F481" s="173"/>
      <c r="G481" s="173"/>
      <c r="H481" s="173"/>
    </row>
    <row r="482" ht="14.25" customHeight="1">
      <c r="F482" s="173"/>
      <c r="G482" s="173"/>
      <c r="H482" s="173"/>
    </row>
    <row r="483" ht="14.25" customHeight="1">
      <c r="F483" s="173"/>
      <c r="G483" s="173"/>
      <c r="H483" s="173"/>
    </row>
    <row r="484" ht="14.25" customHeight="1">
      <c r="F484" s="173"/>
      <c r="G484" s="173"/>
      <c r="H484" s="173"/>
    </row>
    <row r="485" ht="14.25" customHeight="1">
      <c r="F485" s="173"/>
      <c r="G485" s="173"/>
      <c r="H485" s="173"/>
    </row>
    <row r="486" ht="14.25" customHeight="1">
      <c r="F486" s="173"/>
      <c r="G486" s="173"/>
      <c r="H486" s="173"/>
    </row>
    <row r="487" ht="14.25" customHeight="1">
      <c r="F487" s="173"/>
      <c r="G487" s="173"/>
      <c r="H487" s="173"/>
    </row>
    <row r="488" ht="14.25" customHeight="1">
      <c r="F488" s="173"/>
      <c r="G488" s="173"/>
      <c r="H488" s="173"/>
    </row>
    <row r="489" ht="14.25" customHeight="1">
      <c r="F489" s="173"/>
      <c r="G489" s="173"/>
      <c r="H489" s="173"/>
    </row>
    <row r="490" ht="14.25" customHeight="1">
      <c r="F490" s="173"/>
      <c r="G490" s="173"/>
      <c r="H490" s="173"/>
    </row>
    <row r="491" ht="14.25" customHeight="1">
      <c r="F491" s="173"/>
      <c r="G491" s="173"/>
      <c r="H491" s="173"/>
    </row>
    <row r="492" ht="14.25" customHeight="1">
      <c r="F492" s="173"/>
      <c r="G492" s="173"/>
      <c r="H492" s="173"/>
    </row>
    <row r="493" ht="14.25" customHeight="1">
      <c r="F493" s="173"/>
      <c r="G493" s="173"/>
      <c r="H493" s="173"/>
    </row>
    <row r="494" ht="14.25" customHeight="1">
      <c r="F494" s="173"/>
      <c r="G494" s="173"/>
      <c r="H494" s="173"/>
    </row>
    <row r="495" ht="14.25" customHeight="1">
      <c r="F495" s="173"/>
      <c r="G495" s="173"/>
      <c r="H495" s="173"/>
    </row>
    <row r="496" ht="14.25" customHeight="1">
      <c r="F496" s="173"/>
      <c r="G496" s="173"/>
      <c r="H496" s="173"/>
    </row>
    <row r="497" ht="14.25" customHeight="1">
      <c r="F497" s="173"/>
      <c r="G497" s="173"/>
      <c r="H497" s="173"/>
    </row>
    <row r="498" ht="14.25" customHeight="1">
      <c r="F498" s="173"/>
      <c r="G498" s="173"/>
      <c r="H498" s="173"/>
    </row>
    <row r="499" ht="14.25" customHeight="1">
      <c r="F499" s="173"/>
      <c r="G499" s="173"/>
      <c r="H499" s="173"/>
    </row>
    <row r="500" ht="14.25" customHeight="1">
      <c r="F500" s="173"/>
      <c r="G500" s="173"/>
      <c r="H500" s="173"/>
    </row>
    <row r="501" ht="14.25" customHeight="1">
      <c r="F501" s="173"/>
      <c r="G501" s="173"/>
      <c r="H501" s="173"/>
    </row>
    <row r="502" ht="14.25" customHeight="1">
      <c r="F502" s="173"/>
      <c r="G502" s="173"/>
      <c r="H502" s="173"/>
    </row>
    <row r="503" ht="14.25" customHeight="1">
      <c r="F503" s="173"/>
      <c r="G503" s="173"/>
      <c r="H503" s="173"/>
    </row>
    <row r="504" ht="14.25" customHeight="1">
      <c r="F504" s="173"/>
      <c r="G504" s="173"/>
      <c r="H504" s="173"/>
    </row>
    <row r="505" ht="14.25" customHeight="1">
      <c r="F505" s="173"/>
      <c r="G505" s="173"/>
      <c r="H505" s="173"/>
    </row>
    <row r="506" ht="14.25" customHeight="1">
      <c r="F506" s="173"/>
      <c r="G506" s="173"/>
      <c r="H506" s="173"/>
    </row>
    <row r="507" ht="14.25" customHeight="1">
      <c r="F507" s="173"/>
      <c r="G507" s="173"/>
      <c r="H507" s="173"/>
    </row>
    <row r="508" ht="14.25" customHeight="1">
      <c r="F508" s="173"/>
      <c r="G508" s="173"/>
      <c r="H508" s="173"/>
    </row>
    <row r="509" ht="14.25" customHeight="1">
      <c r="F509" s="173"/>
      <c r="G509" s="173"/>
      <c r="H509" s="173"/>
    </row>
    <row r="510" ht="14.25" customHeight="1">
      <c r="F510" s="173"/>
      <c r="G510" s="173"/>
      <c r="H510" s="173"/>
    </row>
    <row r="511" ht="14.25" customHeight="1">
      <c r="F511" s="173"/>
      <c r="G511" s="173"/>
      <c r="H511" s="173"/>
    </row>
    <row r="512" ht="14.25" customHeight="1">
      <c r="F512" s="173"/>
      <c r="G512" s="173"/>
      <c r="H512" s="173"/>
    </row>
    <row r="513" ht="14.25" customHeight="1">
      <c r="F513" s="173"/>
      <c r="G513" s="173"/>
      <c r="H513" s="173"/>
    </row>
    <row r="514" ht="14.25" customHeight="1">
      <c r="F514" s="173"/>
      <c r="G514" s="173"/>
      <c r="H514" s="173"/>
    </row>
    <row r="515" ht="14.25" customHeight="1">
      <c r="F515" s="173"/>
      <c r="G515" s="173"/>
      <c r="H515" s="173"/>
    </row>
    <row r="516" ht="14.25" customHeight="1">
      <c r="F516" s="173"/>
      <c r="G516" s="173"/>
      <c r="H516" s="173"/>
    </row>
    <row r="517" ht="14.25" customHeight="1">
      <c r="F517" s="173"/>
      <c r="G517" s="173"/>
      <c r="H517" s="173"/>
    </row>
    <row r="518" ht="14.25" customHeight="1">
      <c r="F518" s="173"/>
      <c r="G518" s="173"/>
      <c r="H518" s="173"/>
    </row>
    <row r="519" ht="14.25" customHeight="1">
      <c r="F519" s="173"/>
      <c r="G519" s="173"/>
      <c r="H519" s="173"/>
    </row>
    <row r="520" ht="14.25" customHeight="1">
      <c r="F520" s="173"/>
      <c r="G520" s="173"/>
      <c r="H520" s="173"/>
    </row>
    <row r="521" ht="14.25" customHeight="1">
      <c r="F521" s="173"/>
      <c r="G521" s="173"/>
      <c r="H521" s="173"/>
    </row>
    <row r="522" ht="14.25" customHeight="1">
      <c r="F522" s="173"/>
      <c r="G522" s="173"/>
      <c r="H522" s="173"/>
    </row>
    <row r="523" ht="14.25" customHeight="1">
      <c r="F523" s="173"/>
      <c r="G523" s="173"/>
      <c r="H523" s="173"/>
    </row>
    <row r="524" ht="14.25" customHeight="1">
      <c r="F524" s="173"/>
      <c r="G524" s="173"/>
      <c r="H524" s="173"/>
    </row>
    <row r="525" ht="14.25" customHeight="1">
      <c r="F525" s="173"/>
      <c r="G525" s="173"/>
      <c r="H525" s="173"/>
    </row>
    <row r="526" ht="14.25" customHeight="1">
      <c r="F526" s="173"/>
      <c r="G526" s="173"/>
      <c r="H526" s="173"/>
    </row>
    <row r="527" ht="14.25" customHeight="1">
      <c r="F527" s="173"/>
      <c r="G527" s="173"/>
      <c r="H527" s="173"/>
    </row>
    <row r="528" ht="14.25" customHeight="1">
      <c r="F528" s="173"/>
      <c r="G528" s="173"/>
      <c r="H528" s="173"/>
    </row>
    <row r="529" ht="14.25" customHeight="1">
      <c r="F529" s="173"/>
      <c r="G529" s="173"/>
      <c r="H529" s="173"/>
    </row>
    <row r="530" ht="14.25" customHeight="1">
      <c r="F530" s="173"/>
      <c r="G530" s="173"/>
      <c r="H530" s="173"/>
    </row>
    <row r="531" ht="14.25" customHeight="1">
      <c r="F531" s="173"/>
      <c r="G531" s="173"/>
      <c r="H531" s="173"/>
    </row>
    <row r="532" ht="14.25" customHeight="1">
      <c r="F532" s="173"/>
      <c r="G532" s="173"/>
      <c r="H532" s="173"/>
    </row>
    <row r="533" ht="14.25" customHeight="1">
      <c r="F533" s="173"/>
      <c r="G533" s="173"/>
      <c r="H533" s="173"/>
    </row>
    <row r="534" ht="14.25" customHeight="1">
      <c r="F534" s="173"/>
      <c r="G534" s="173"/>
      <c r="H534" s="173"/>
    </row>
    <row r="535" ht="14.25" customHeight="1">
      <c r="F535" s="173"/>
      <c r="G535" s="173"/>
      <c r="H535" s="173"/>
    </row>
    <row r="536" ht="14.25" customHeight="1">
      <c r="F536" s="173"/>
      <c r="G536" s="173"/>
      <c r="H536" s="173"/>
    </row>
    <row r="537" ht="14.25" customHeight="1">
      <c r="F537" s="173"/>
      <c r="G537" s="173"/>
      <c r="H537" s="173"/>
    </row>
    <row r="538" ht="14.25" customHeight="1">
      <c r="F538" s="173"/>
      <c r="G538" s="173"/>
      <c r="H538" s="173"/>
    </row>
    <row r="539" ht="14.25" customHeight="1">
      <c r="F539" s="173"/>
      <c r="G539" s="173"/>
      <c r="H539" s="173"/>
    </row>
    <row r="540" ht="14.25" customHeight="1">
      <c r="F540" s="173"/>
      <c r="G540" s="173"/>
      <c r="H540" s="173"/>
    </row>
    <row r="541" ht="14.25" customHeight="1">
      <c r="F541" s="173"/>
      <c r="G541" s="173"/>
      <c r="H541" s="173"/>
    </row>
    <row r="542" ht="14.25" customHeight="1">
      <c r="F542" s="173"/>
      <c r="G542" s="173"/>
      <c r="H542" s="173"/>
    </row>
    <row r="543" ht="14.25" customHeight="1">
      <c r="F543" s="173"/>
      <c r="G543" s="173"/>
      <c r="H543" s="173"/>
    </row>
    <row r="544" ht="14.25" customHeight="1">
      <c r="F544" s="173"/>
      <c r="G544" s="173"/>
      <c r="H544" s="173"/>
    </row>
    <row r="545" ht="14.25" customHeight="1">
      <c r="F545" s="173"/>
      <c r="G545" s="173"/>
      <c r="H545" s="173"/>
    </row>
    <row r="546" ht="14.25" customHeight="1">
      <c r="F546" s="173"/>
      <c r="G546" s="173"/>
      <c r="H546" s="173"/>
    </row>
    <row r="547" ht="14.25" customHeight="1">
      <c r="F547" s="173"/>
      <c r="G547" s="173"/>
      <c r="H547" s="173"/>
    </row>
    <row r="548" ht="14.25" customHeight="1">
      <c r="F548" s="173"/>
      <c r="G548" s="173"/>
      <c r="H548" s="173"/>
    </row>
    <row r="549" ht="14.25" customHeight="1">
      <c r="F549" s="173"/>
      <c r="G549" s="173"/>
      <c r="H549" s="173"/>
    </row>
    <row r="550" ht="14.25" customHeight="1">
      <c r="F550" s="173"/>
      <c r="G550" s="173"/>
      <c r="H550" s="173"/>
    </row>
    <row r="551" ht="14.25" customHeight="1">
      <c r="F551" s="173"/>
      <c r="G551" s="173"/>
      <c r="H551" s="173"/>
    </row>
    <row r="552" ht="14.25" customHeight="1">
      <c r="F552" s="173"/>
      <c r="G552" s="173"/>
      <c r="H552" s="173"/>
    </row>
    <row r="553" ht="14.25" customHeight="1">
      <c r="F553" s="173"/>
      <c r="G553" s="173"/>
      <c r="H553" s="173"/>
    </row>
    <row r="554" ht="14.25" customHeight="1">
      <c r="F554" s="173"/>
      <c r="G554" s="173"/>
      <c r="H554" s="173"/>
    </row>
    <row r="555" ht="14.25" customHeight="1">
      <c r="F555" s="173"/>
      <c r="G555" s="173"/>
      <c r="H555" s="173"/>
    </row>
    <row r="556" ht="14.25" customHeight="1">
      <c r="F556" s="173"/>
      <c r="G556" s="173"/>
      <c r="H556" s="173"/>
    </row>
    <row r="557" ht="14.25" customHeight="1">
      <c r="F557" s="173"/>
      <c r="G557" s="173"/>
      <c r="H557" s="173"/>
    </row>
    <row r="558" ht="14.25" customHeight="1">
      <c r="F558" s="173"/>
      <c r="G558" s="173"/>
      <c r="H558" s="173"/>
    </row>
    <row r="559" ht="14.25" customHeight="1">
      <c r="F559" s="173"/>
      <c r="G559" s="173"/>
      <c r="H559" s="173"/>
    </row>
    <row r="560" ht="14.25" customHeight="1">
      <c r="F560" s="173"/>
      <c r="G560" s="173"/>
      <c r="H560" s="173"/>
    </row>
    <row r="561" ht="14.25" customHeight="1">
      <c r="F561" s="173"/>
      <c r="G561" s="173"/>
      <c r="H561" s="173"/>
    </row>
    <row r="562" ht="14.25" customHeight="1">
      <c r="F562" s="173"/>
      <c r="G562" s="173"/>
      <c r="H562" s="173"/>
    </row>
    <row r="563" ht="14.25" customHeight="1">
      <c r="F563" s="173"/>
      <c r="G563" s="173"/>
      <c r="H563" s="173"/>
    </row>
    <row r="564" ht="14.25" customHeight="1">
      <c r="F564" s="173"/>
      <c r="G564" s="173"/>
      <c r="H564" s="173"/>
    </row>
    <row r="565" ht="14.25" customHeight="1">
      <c r="F565" s="173"/>
      <c r="G565" s="173"/>
      <c r="H565" s="173"/>
    </row>
    <row r="566" ht="14.25" customHeight="1">
      <c r="F566" s="173"/>
      <c r="G566" s="173"/>
      <c r="H566" s="173"/>
    </row>
    <row r="567" ht="14.25" customHeight="1">
      <c r="F567" s="173"/>
      <c r="G567" s="173"/>
      <c r="H567" s="173"/>
    </row>
    <row r="568" ht="14.25" customHeight="1">
      <c r="F568" s="173"/>
      <c r="G568" s="173"/>
      <c r="H568" s="173"/>
    </row>
    <row r="569" ht="14.25" customHeight="1">
      <c r="F569" s="173"/>
      <c r="G569" s="173"/>
      <c r="H569" s="173"/>
    </row>
    <row r="570" ht="14.25" customHeight="1">
      <c r="F570" s="173"/>
      <c r="G570" s="173"/>
      <c r="H570" s="173"/>
    </row>
    <row r="571" ht="14.25" customHeight="1">
      <c r="F571" s="173"/>
      <c r="G571" s="173"/>
      <c r="H571" s="173"/>
    </row>
    <row r="572" ht="14.25" customHeight="1">
      <c r="F572" s="173"/>
      <c r="G572" s="173"/>
      <c r="H572" s="173"/>
    </row>
    <row r="573" ht="14.25" customHeight="1">
      <c r="F573" s="173"/>
      <c r="G573" s="173"/>
      <c r="H573" s="173"/>
    </row>
    <row r="574" ht="14.25" customHeight="1">
      <c r="F574" s="173"/>
      <c r="G574" s="173"/>
      <c r="H574" s="173"/>
    </row>
    <row r="575" ht="14.25" customHeight="1">
      <c r="F575" s="173"/>
      <c r="G575" s="173"/>
      <c r="H575" s="173"/>
    </row>
    <row r="576" ht="14.25" customHeight="1">
      <c r="F576" s="173"/>
      <c r="G576" s="173"/>
      <c r="H576" s="173"/>
    </row>
    <row r="577" ht="14.25" customHeight="1">
      <c r="F577" s="173"/>
      <c r="G577" s="173"/>
      <c r="H577" s="173"/>
    </row>
    <row r="578" ht="14.25" customHeight="1">
      <c r="F578" s="173"/>
      <c r="G578" s="173"/>
      <c r="H578" s="173"/>
    </row>
    <row r="579" ht="14.25" customHeight="1">
      <c r="F579" s="173"/>
      <c r="G579" s="173"/>
      <c r="H579" s="173"/>
    </row>
    <row r="580" ht="14.25" customHeight="1">
      <c r="F580" s="173"/>
      <c r="G580" s="173"/>
      <c r="H580" s="173"/>
    </row>
    <row r="581" ht="14.25" customHeight="1">
      <c r="F581" s="173"/>
      <c r="G581" s="173"/>
      <c r="H581" s="173"/>
    </row>
    <row r="582" ht="14.25" customHeight="1">
      <c r="F582" s="173"/>
      <c r="G582" s="173"/>
      <c r="H582" s="173"/>
    </row>
    <row r="583" ht="14.25" customHeight="1">
      <c r="F583" s="173"/>
      <c r="G583" s="173"/>
      <c r="H583" s="173"/>
    </row>
    <row r="584" ht="14.25" customHeight="1">
      <c r="F584" s="173"/>
      <c r="G584" s="173"/>
      <c r="H584" s="173"/>
    </row>
    <row r="585" ht="14.25" customHeight="1">
      <c r="F585" s="173"/>
      <c r="G585" s="173"/>
      <c r="H585" s="173"/>
    </row>
    <row r="586" ht="14.25" customHeight="1">
      <c r="F586" s="173"/>
      <c r="G586" s="173"/>
      <c r="H586" s="173"/>
    </row>
    <row r="587" ht="14.25" customHeight="1">
      <c r="F587" s="173"/>
      <c r="G587" s="173"/>
      <c r="H587" s="173"/>
    </row>
    <row r="588" ht="14.25" customHeight="1">
      <c r="F588" s="173"/>
      <c r="G588" s="173"/>
      <c r="H588" s="173"/>
    </row>
    <row r="589" ht="14.25" customHeight="1">
      <c r="F589" s="173"/>
      <c r="G589" s="173"/>
      <c r="H589" s="173"/>
    </row>
    <row r="590" ht="14.25" customHeight="1">
      <c r="F590" s="173"/>
      <c r="G590" s="173"/>
      <c r="H590" s="173"/>
    </row>
    <row r="591" ht="14.25" customHeight="1">
      <c r="F591" s="173"/>
      <c r="G591" s="173"/>
      <c r="H591" s="173"/>
    </row>
    <row r="592" ht="14.25" customHeight="1">
      <c r="F592" s="173"/>
      <c r="G592" s="173"/>
      <c r="H592" s="173"/>
    </row>
    <row r="593" ht="14.25" customHeight="1">
      <c r="F593" s="173"/>
      <c r="G593" s="173"/>
      <c r="H593" s="173"/>
    </row>
    <row r="594" ht="14.25" customHeight="1">
      <c r="F594" s="173"/>
      <c r="G594" s="173"/>
      <c r="H594" s="173"/>
    </row>
    <row r="595" ht="14.25" customHeight="1">
      <c r="F595" s="173"/>
      <c r="G595" s="173"/>
      <c r="H595" s="173"/>
    </row>
    <row r="596" ht="14.25" customHeight="1">
      <c r="F596" s="173"/>
      <c r="G596" s="173"/>
      <c r="H596" s="173"/>
    </row>
    <row r="597" ht="14.25" customHeight="1">
      <c r="F597" s="173"/>
      <c r="G597" s="173"/>
      <c r="H597" s="173"/>
    </row>
    <row r="598" ht="14.25" customHeight="1">
      <c r="F598" s="173"/>
      <c r="G598" s="173"/>
      <c r="H598" s="173"/>
    </row>
    <row r="599" ht="14.25" customHeight="1">
      <c r="F599" s="173"/>
      <c r="G599" s="173"/>
      <c r="H599" s="173"/>
    </row>
    <row r="600" ht="14.25" customHeight="1">
      <c r="F600" s="173"/>
      <c r="G600" s="173"/>
      <c r="H600" s="173"/>
    </row>
    <row r="601" ht="14.25" customHeight="1">
      <c r="F601" s="173"/>
      <c r="G601" s="173"/>
      <c r="H601" s="173"/>
    </row>
    <row r="602" ht="14.25" customHeight="1">
      <c r="F602" s="173"/>
      <c r="G602" s="173"/>
      <c r="H602" s="173"/>
    </row>
    <row r="603" ht="14.25" customHeight="1">
      <c r="F603" s="173"/>
      <c r="G603" s="173"/>
      <c r="H603" s="173"/>
    </row>
    <row r="604" ht="14.25" customHeight="1">
      <c r="F604" s="173"/>
      <c r="G604" s="173"/>
      <c r="H604" s="173"/>
    </row>
    <row r="605" ht="14.25" customHeight="1">
      <c r="F605" s="173"/>
      <c r="G605" s="173"/>
      <c r="H605" s="173"/>
    </row>
    <row r="606" ht="14.25" customHeight="1">
      <c r="F606" s="173"/>
      <c r="G606" s="173"/>
      <c r="H606" s="173"/>
    </row>
    <row r="607" ht="14.25" customHeight="1">
      <c r="F607" s="173"/>
      <c r="G607" s="173"/>
      <c r="H607" s="173"/>
    </row>
    <row r="608" ht="14.25" customHeight="1">
      <c r="F608" s="173"/>
      <c r="G608" s="173"/>
      <c r="H608" s="173"/>
    </row>
    <row r="609" ht="14.25" customHeight="1">
      <c r="F609" s="173"/>
      <c r="G609" s="173"/>
      <c r="H609" s="173"/>
    </row>
    <row r="610" ht="14.25" customHeight="1">
      <c r="F610" s="173"/>
      <c r="G610" s="173"/>
      <c r="H610" s="173"/>
    </row>
    <row r="611" ht="14.25" customHeight="1">
      <c r="F611" s="173"/>
      <c r="G611" s="173"/>
      <c r="H611" s="173"/>
    </row>
    <row r="612" ht="14.25" customHeight="1">
      <c r="F612" s="173"/>
      <c r="G612" s="173"/>
      <c r="H612" s="173"/>
    </row>
    <row r="613" ht="14.25" customHeight="1">
      <c r="F613" s="173"/>
      <c r="G613" s="173"/>
      <c r="H613" s="173"/>
    </row>
    <row r="614" ht="14.25" customHeight="1">
      <c r="F614" s="173"/>
      <c r="G614" s="173"/>
      <c r="H614" s="173"/>
    </row>
    <row r="615" ht="14.25" customHeight="1">
      <c r="F615" s="173"/>
      <c r="G615" s="173"/>
      <c r="H615" s="173"/>
    </row>
    <row r="616" ht="14.25" customHeight="1">
      <c r="F616" s="173"/>
      <c r="G616" s="173"/>
      <c r="H616" s="173"/>
    </row>
    <row r="617" ht="14.25" customHeight="1">
      <c r="F617" s="173"/>
      <c r="G617" s="173"/>
      <c r="H617" s="173"/>
    </row>
    <row r="618" ht="14.25" customHeight="1">
      <c r="F618" s="173"/>
      <c r="G618" s="173"/>
      <c r="H618" s="173"/>
    </row>
    <row r="619" ht="14.25" customHeight="1">
      <c r="F619" s="173"/>
      <c r="G619" s="173"/>
      <c r="H619" s="173"/>
    </row>
    <row r="620" ht="14.25" customHeight="1">
      <c r="F620" s="173"/>
      <c r="G620" s="173"/>
      <c r="H620" s="173"/>
    </row>
    <row r="621" ht="14.25" customHeight="1">
      <c r="F621" s="173"/>
      <c r="G621" s="173"/>
      <c r="H621" s="173"/>
    </row>
    <row r="622" ht="14.25" customHeight="1">
      <c r="F622" s="173"/>
      <c r="G622" s="173"/>
      <c r="H622" s="173"/>
    </row>
    <row r="623" ht="14.25" customHeight="1">
      <c r="F623" s="173"/>
      <c r="G623" s="173"/>
      <c r="H623" s="173"/>
    </row>
    <row r="624" ht="14.25" customHeight="1">
      <c r="F624" s="173"/>
      <c r="G624" s="173"/>
      <c r="H624" s="173"/>
    </row>
    <row r="625" ht="14.25" customHeight="1">
      <c r="F625" s="173"/>
      <c r="G625" s="173"/>
      <c r="H625" s="173"/>
    </row>
    <row r="626" ht="14.25" customHeight="1">
      <c r="F626" s="173"/>
      <c r="G626" s="173"/>
      <c r="H626" s="173"/>
    </row>
    <row r="627" ht="14.25" customHeight="1">
      <c r="F627" s="173"/>
      <c r="G627" s="173"/>
      <c r="H627" s="173"/>
    </row>
    <row r="628" ht="14.25" customHeight="1">
      <c r="F628" s="173"/>
      <c r="G628" s="173"/>
      <c r="H628" s="173"/>
    </row>
    <row r="629" ht="14.25" customHeight="1">
      <c r="F629" s="173"/>
      <c r="G629" s="173"/>
      <c r="H629" s="173"/>
    </row>
    <row r="630" ht="14.25" customHeight="1">
      <c r="F630" s="173"/>
      <c r="G630" s="173"/>
      <c r="H630" s="173"/>
    </row>
    <row r="631" ht="14.25" customHeight="1">
      <c r="F631" s="173"/>
      <c r="G631" s="173"/>
      <c r="H631" s="173"/>
    </row>
    <row r="632" ht="14.25" customHeight="1">
      <c r="F632" s="173"/>
      <c r="G632" s="173"/>
      <c r="H632" s="173"/>
    </row>
    <row r="633" ht="14.25" customHeight="1">
      <c r="F633" s="173"/>
      <c r="G633" s="173"/>
      <c r="H633" s="173"/>
    </row>
    <row r="634" ht="14.25" customHeight="1">
      <c r="F634" s="173"/>
      <c r="G634" s="173"/>
      <c r="H634" s="173"/>
    </row>
    <row r="635" ht="14.25" customHeight="1">
      <c r="F635" s="173"/>
      <c r="G635" s="173"/>
      <c r="H635" s="173"/>
    </row>
    <row r="636" ht="14.25" customHeight="1">
      <c r="F636" s="173"/>
      <c r="G636" s="173"/>
      <c r="H636" s="173"/>
    </row>
    <row r="637" ht="14.25" customHeight="1">
      <c r="F637" s="173"/>
      <c r="G637" s="173"/>
      <c r="H637" s="173"/>
    </row>
    <row r="638" ht="14.25" customHeight="1">
      <c r="F638" s="173"/>
      <c r="G638" s="173"/>
      <c r="H638" s="173"/>
    </row>
    <row r="639" ht="14.25" customHeight="1">
      <c r="F639" s="173"/>
      <c r="G639" s="173"/>
      <c r="H639" s="173"/>
    </row>
    <row r="640" ht="14.25" customHeight="1">
      <c r="F640" s="173"/>
      <c r="G640" s="173"/>
      <c r="H640" s="173"/>
    </row>
    <row r="641" ht="14.25" customHeight="1">
      <c r="F641" s="173"/>
      <c r="G641" s="173"/>
      <c r="H641" s="173"/>
    </row>
    <row r="642" ht="14.25" customHeight="1">
      <c r="F642" s="173"/>
      <c r="G642" s="173"/>
      <c r="H642" s="173"/>
    </row>
    <row r="643" ht="14.25" customHeight="1">
      <c r="F643" s="173"/>
      <c r="G643" s="173"/>
      <c r="H643" s="173"/>
    </row>
    <row r="644" ht="14.25" customHeight="1">
      <c r="F644" s="173"/>
      <c r="G644" s="173"/>
      <c r="H644" s="173"/>
    </row>
    <row r="645" ht="14.25" customHeight="1">
      <c r="F645" s="173"/>
      <c r="G645" s="173"/>
      <c r="H645" s="173"/>
    </row>
    <row r="646" ht="14.25" customHeight="1">
      <c r="F646" s="173"/>
      <c r="G646" s="173"/>
      <c r="H646" s="173"/>
    </row>
    <row r="647" ht="14.25" customHeight="1">
      <c r="F647" s="173"/>
      <c r="G647" s="173"/>
      <c r="H647" s="173"/>
    </row>
    <row r="648" ht="14.25" customHeight="1">
      <c r="F648" s="173"/>
      <c r="G648" s="173"/>
      <c r="H648" s="173"/>
    </row>
    <row r="649" ht="14.25" customHeight="1">
      <c r="F649" s="173"/>
      <c r="G649" s="173"/>
      <c r="H649" s="173"/>
    </row>
    <row r="650" ht="14.25" customHeight="1">
      <c r="F650" s="173"/>
      <c r="G650" s="173"/>
      <c r="H650" s="173"/>
    </row>
    <row r="651" ht="14.25" customHeight="1">
      <c r="F651" s="173"/>
      <c r="G651" s="173"/>
      <c r="H651" s="173"/>
    </row>
    <row r="652" ht="14.25" customHeight="1">
      <c r="F652" s="173"/>
      <c r="G652" s="173"/>
      <c r="H652" s="173"/>
    </row>
    <row r="653" ht="14.25" customHeight="1">
      <c r="F653" s="173"/>
      <c r="G653" s="173"/>
      <c r="H653" s="173"/>
    </row>
    <row r="654" ht="14.25" customHeight="1">
      <c r="F654" s="173"/>
      <c r="G654" s="173"/>
      <c r="H654" s="173"/>
    </row>
    <row r="655" ht="14.25" customHeight="1">
      <c r="F655" s="173"/>
      <c r="G655" s="173"/>
      <c r="H655" s="173"/>
    </row>
    <row r="656" ht="14.25" customHeight="1">
      <c r="F656" s="173"/>
      <c r="G656" s="173"/>
      <c r="H656" s="173"/>
    </row>
    <row r="657" ht="14.25" customHeight="1">
      <c r="F657" s="173"/>
      <c r="G657" s="173"/>
      <c r="H657" s="173"/>
    </row>
    <row r="658" ht="14.25" customHeight="1">
      <c r="F658" s="173"/>
      <c r="G658" s="173"/>
      <c r="H658" s="173"/>
    </row>
    <row r="659" ht="14.25" customHeight="1">
      <c r="F659" s="173"/>
      <c r="G659" s="173"/>
      <c r="H659" s="173"/>
    </row>
    <row r="660" ht="14.25" customHeight="1">
      <c r="F660" s="173"/>
      <c r="G660" s="173"/>
      <c r="H660" s="173"/>
    </row>
    <row r="661" ht="14.25" customHeight="1">
      <c r="F661" s="173"/>
      <c r="G661" s="173"/>
      <c r="H661" s="173"/>
    </row>
    <row r="662" ht="14.25" customHeight="1">
      <c r="F662" s="173"/>
      <c r="G662" s="173"/>
      <c r="H662" s="173"/>
    </row>
    <row r="663" ht="14.25" customHeight="1">
      <c r="F663" s="173"/>
      <c r="G663" s="173"/>
      <c r="H663" s="173"/>
    </row>
    <row r="664" ht="14.25" customHeight="1">
      <c r="F664" s="173"/>
      <c r="G664" s="173"/>
      <c r="H664" s="173"/>
    </row>
    <row r="665" ht="14.25" customHeight="1">
      <c r="F665" s="173"/>
      <c r="G665" s="173"/>
      <c r="H665" s="173"/>
    </row>
    <row r="666" ht="14.25" customHeight="1">
      <c r="F666" s="173"/>
      <c r="G666" s="173"/>
      <c r="H666" s="173"/>
    </row>
    <row r="667" ht="14.25" customHeight="1">
      <c r="F667" s="173"/>
      <c r="G667" s="173"/>
      <c r="H667" s="173"/>
    </row>
    <row r="668" ht="14.25" customHeight="1">
      <c r="F668" s="173"/>
      <c r="G668" s="173"/>
      <c r="H668" s="173"/>
    </row>
    <row r="669" ht="14.25" customHeight="1">
      <c r="F669" s="173"/>
      <c r="G669" s="173"/>
      <c r="H669" s="173"/>
    </row>
    <row r="670" ht="14.25" customHeight="1">
      <c r="F670" s="173"/>
      <c r="G670" s="173"/>
      <c r="H670" s="173"/>
    </row>
    <row r="671" ht="14.25" customHeight="1">
      <c r="F671" s="173"/>
      <c r="G671" s="173"/>
      <c r="H671" s="173"/>
    </row>
    <row r="672" ht="14.25" customHeight="1">
      <c r="F672" s="173"/>
      <c r="G672" s="173"/>
      <c r="H672" s="173"/>
    </row>
    <row r="673" ht="14.25" customHeight="1">
      <c r="F673" s="173"/>
      <c r="G673" s="173"/>
      <c r="H673" s="173"/>
    </row>
    <row r="674" ht="14.25" customHeight="1">
      <c r="F674" s="173"/>
      <c r="G674" s="173"/>
      <c r="H674" s="173"/>
    </row>
    <row r="675" ht="14.25" customHeight="1">
      <c r="F675" s="173"/>
      <c r="G675" s="173"/>
      <c r="H675" s="173"/>
    </row>
    <row r="676" ht="14.25" customHeight="1">
      <c r="F676" s="173"/>
      <c r="G676" s="173"/>
      <c r="H676" s="173"/>
    </row>
    <row r="677" ht="14.25" customHeight="1">
      <c r="F677" s="173"/>
      <c r="G677" s="173"/>
      <c r="H677" s="173"/>
    </row>
    <row r="678" ht="14.25" customHeight="1">
      <c r="F678" s="173"/>
      <c r="G678" s="173"/>
      <c r="H678" s="173"/>
    </row>
    <row r="679" ht="14.25" customHeight="1">
      <c r="F679" s="173"/>
      <c r="G679" s="173"/>
      <c r="H679" s="173"/>
    </row>
    <row r="680" ht="14.25" customHeight="1">
      <c r="F680" s="173"/>
      <c r="G680" s="173"/>
      <c r="H680" s="173"/>
    </row>
    <row r="681" ht="14.25" customHeight="1">
      <c r="F681" s="173"/>
      <c r="G681" s="173"/>
      <c r="H681" s="173"/>
    </row>
    <row r="682" ht="14.25" customHeight="1">
      <c r="F682" s="173"/>
      <c r="G682" s="173"/>
      <c r="H682" s="173"/>
    </row>
    <row r="683" ht="14.25" customHeight="1">
      <c r="F683" s="173"/>
      <c r="G683" s="173"/>
      <c r="H683" s="173"/>
    </row>
    <row r="684" ht="14.25" customHeight="1">
      <c r="F684" s="173"/>
      <c r="G684" s="173"/>
      <c r="H684" s="173"/>
    </row>
    <row r="685" ht="14.25" customHeight="1">
      <c r="F685" s="173"/>
      <c r="G685" s="173"/>
      <c r="H685" s="173"/>
    </row>
    <row r="686" ht="14.25" customHeight="1">
      <c r="F686" s="173"/>
      <c r="G686" s="173"/>
      <c r="H686" s="173"/>
    </row>
    <row r="687" ht="14.25" customHeight="1">
      <c r="F687" s="173"/>
      <c r="G687" s="173"/>
      <c r="H687" s="173"/>
    </row>
    <row r="688" ht="14.25" customHeight="1">
      <c r="F688" s="173"/>
      <c r="G688" s="173"/>
      <c r="H688" s="173"/>
    </row>
    <row r="689" ht="14.25" customHeight="1">
      <c r="F689" s="173"/>
      <c r="G689" s="173"/>
      <c r="H689" s="173"/>
    </row>
    <row r="690" ht="14.25" customHeight="1">
      <c r="F690" s="173"/>
      <c r="G690" s="173"/>
      <c r="H690" s="173"/>
    </row>
    <row r="691" ht="14.25" customHeight="1">
      <c r="F691" s="173"/>
      <c r="G691" s="173"/>
      <c r="H691" s="173"/>
    </row>
    <row r="692" ht="14.25" customHeight="1">
      <c r="F692" s="173"/>
      <c r="G692" s="173"/>
      <c r="H692" s="173"/>
    </row>
    <row r="693" ht="14.25" customHeight="1">
      <c r="F693" s="173"/>
      <c r="G693" s="173"/>
      <c r="H693" s="173"/>
    </row>
    <row r="694" ht="14.25" customHeight="1">
      <c r="F694" s="173"/>
      <c r="G694" s="173"/>
      <c r="H694" s="173"/>
    </row>
    <row r="695" ht="14.25" customHeight="1">
      <c r="F695" s="173"/>
      <c r="G695" s="173"/>
      <c r="H695" s="173"/>
    </row>
    <row r="696" ht="14.25" customHeight="1">
      <c r="F696" s="173"/>
      <c r="G696" s="173"/>
      <c r="H696" s="173"/>
    </row>
    <row r="697" ht="14.25" customHeight="1">
      <c r="F697" s="173"/>
      <c r="G697" s="173"/>
      <c r="H697" s="173"/>
    </row>
    <row r="698" ht="14.25" customHeight="1">
      <c r="F698" s="173"/>
      <c r="G698" s="173"/>
      <c r="H698" s="173"/>
    </row>
    <row r="699" ht="14.25" customHeight="1">
      <c r="F699" s="173"/>
      <c r="G699" s="173"/>
      <c r="H699" s="173"/>
    </row>
    <row r="700" ht="14.25" customHeight="1">
      <c r="F700" s="173"/>
      <c r="G700" s="173"/>
      <c r="H700" s="173"/>
    </row>
    <row r="701" ht="14.25" customHeight="1">
      <c r="F701" s="173"/>
      <c r="G701" s="173"/>
      <c r="H701" s="173"/>
    </row>
    <row r="702" ht="14.25" customHeight="1">
      <c r="F702" s="173"/>
      <c r="G702" s="173"/>
      <c r="H702" s="173"/>
    </row>
    <row r="703" ht="14.25" customHeight="1">
      <c r="F703" s="173"/>
      <c r="G703" s="173"/>
      <c r="H703" s="173"/>
    </row>
    <row r="704" ht="14.25" customHeight="1">
      <c r="F704" s="173"/>
      <c r="G704" s="173"/>
      <c r="H704" s="173"/>
    </row>
    <row r="705" ht="14.25" customHeight="1">
      <c r="F705" s="173"/>
      <c r="G705" s="173"/>
      <c r="H705" s="173"/>
    </row>
    <row r="706" ht="14.25" customHeight="1">
      <c r="F706" s="173"/>
      <c r="G706" s="173"/>
      <c r="H706" s="173"/>
    </row>
    <row r="707" ht="14.25" customHeight="1">
      <c r="F707" s="173"/>
      <c r="G707" s="173"/>
      <c r="H707" s="173"/>
    </row>
    <row r="708" ht="14.25" customHeight="1">
      <c r="F708" s="173"/>
      <c r="G708" s="173"/>
      <c r="H708" s="173"/>
    </row>
    <row r="709" ht="14.25" customHeight="1">
      <c r="F709" s="173"/>
      <c r="G709" s="173"/>
      <c r="H709" s="173"/>
    </row>
    <row r="710" ht="14.25" customHeight="1">
      <c r="F710" s="173"/>
      <c r="G710" s="173"/>
      <c r="H710" s="173"/>
    </row>
    <row r="711" ht="14.25" customHeight="1">
      <c r="F711" s="173"/>
      <c r="G711" s="173"/>
      <c r="H711" s="173"/>
    </row>
    <row r="712" ht="14.25" customHeight="1">
      <c r="F712" s="173"/>
      <c r="G712" s="173"/>
      <c r="H712" s="173"/>
    </row>
    <row r="713" ht="14.25" customHeight="1">
      <c r="F713" s="173"/>
      <c r="G713" s="173"/>
      <c r="H713" s="173"/>
    </row>
    <row r="714" ht="14.25" customHeight="1">
      <c r="F714" s="173"/>
      <c r="G714" s="173"/>
      <c r="H714" s="173"/>
    </row>
    <row r="715" ht="14.25" customHeight="1">
      <c r="F715" s="173"/>
      <c r="G715" s="173"/>
      <c r="H715" s="173"/>
    </row>
    <row r="716" ht="14.25" customHeight="1">
      <c r="F716" s="173"/>
      <c r="G716" s="173"/>
      <c r="H716" s="173"/>
    </row>
    <row r="717" ht="14.25" customHeight="1">
      <c r="F717" s="173"/>
      <c r="G717" s="173"/>
      <c r="H717" s="173"/>
    </row>
    <row r="718" ht="14.25" customHeight="1">
      <c r="F718" s="173"/>
      <c r="G718" s="173"/>
      <c r="H718" s="173"/>
    </row>
    <row r="719" ht="14.25" customHeight="1">
      <c r="F719" s="173"/>
      <c r="G719" s="173"/>
      <c r="H719" s="173"/>
    </row>
    <row r="720" ht="14.25" customHeight="1">
      <c r="F720" s="173"/>
      <c r="G720" s="173"/>
      <c r="H720" s="173"/>
    </row>
    <row r="721" ht="14.25" customHeight="1">
      <c r="F721" s="173"/>
      <c r="G721" s="173"/>
      <c r="H721" s="173"/>
    </row>
    <row r="722" ht="14.25" customHeight="1">
      <c r="F722" s="173"/>
      <c r="G722" s="173"/>
      <c r="H722" s="173"/>
    </row>
    <row r="723" ht="14.25" customHeight="1">
      <c r="F723" s="173"/>
      <c r="G723" s="173"/>
      <c r="H723" s="173"/>
    </row>
    <row r="724" ht="14.25" customHeight="1">
      <c r="F724" s="173"/>
      <c r="G724" s="173"/>
      <c r="H724" s="173"/>
    </row>
    <row r="725" ht="14.25" customHeight="1">
      <c r="F725" s="173"/>
      <c r="G725" s="173"/>
      <c r="H725" s="173"/>
    </row>
    <row r="726" ht="14.25" customHeight="1">
      <c r="F726" s="173"/>
      <c r="G726" s="173"/>
      <c r="H726" s="173"/>
    </row>
    <row r="727" ht="14.25" customHeight="1">
      <c r="F727" s="173"/>
      <c r="G727" s="173"/>
      <c r="H727" s="173"/>
    </row>
    <row r="728" ht="14.25" customHeight="1">
      <c r="F728" s="173"/>
      <c r="G728" s="173"/>
      <c r="H728" s="173"/>
    </row>
    <row r="729" ht="14.25" customHeight="1">
      <c r="F729" s="173"/>
      <c r="G729" s="173"/>
      <c r="H729" s="173"/>
    </row>
    <row r="730" ht="14.25" customHeight="1">
      <c r="F730" s="173"/>
      <c r="G730" s="173"/>
      <c r="H730" s="173"/>
    </row>
    <row r="731" ht="14.25" customHeight="1">
      <c r="F731" s="173"/>
      <c r="G731" s="173"/>
      <c r="H731" s="173"/>
    </row>
    <row r="732" ht="14.25" customHeight="1">
      <c r="F732" s="173"/>
      <c r="G732" s="173"/>
      <c r="H732" s="173"/>
    </row>
    <row r="733" ht="14.25" customHeight="1">
      <c r="F733" s="173"/>
      <c r="G733" s="173"/>
      <c r="H733" s="173"/>
    </row>
    <row r="734" ht="14.25" customHeight="1">
      <c r="F734" s="173"/>
      <c r="G734" s="173"/>
      <c r="H734" s="173"/>
    </row>
    <row r="735" ht="14.25" customHeight="1">
      <c r="F735" s="173"/>
      <c r="G735" s="173"/>
      <c r="H735" s="173"/>
    </row>
    <row r="736" ht="14.25" customHeight="1">
      <c r="F736" s="173"/>
      <c r="G736" s="173"/>
      <c r="H736" s="173"/>
    </row>
    <row r="737" ht="14.25" customHeight="1">
      <c r="F737" s="173"/>
      <c r="G737" s="173"/>
      <c r="H737" s="173"/>
    </row>
    <row r="738" ht="14.25" customHeight="1">
      <c r="F738" s="173"/>
      <c r="G738" s="173"/>
      <c r="H738" s="173"/>
    </row>
    <row r="739" ht="14.25" customHeight="1">
      <c r="F739" s="173"/>
      <c r="G739" s="173"/>
      <c r="H739" s="173"/>
    </row>
    <row r="740" ht="14.25" customHeight="1">
      <c r="F740" s="173"/>
      <c r="G740" s="173"/>
      <c r="H740" s="173"/>
    </row>
    <row r="741" ht="14.25" customHeight="1">
      <c r="F741" s="173"/>
      <c r="G741" s="173"/>
      <c r="H741" s="173"/>
    </row>
    <row r="742" ht="14.25" customHeight="1">
      <c r="F742" s="173"/>
      <c r="G742" s="173"/>
      <c r="H742" s="173"/>
    </row>
    <row r="743" ht="14.25" customHeight="1">
      <c r="F743" s="173"/>
      <c r="G743" s="173"/>
      <c r="H743" s="173"/>
    </row>
    <row r="744" ht="14.25" customHeight="1">
      <c r="F744" s="173"/>
      <c r="G744" s="173"/>
      <c r="H744" s="173"/>
    </row>
    <row r="745" ht="14.25" customHeight="1">
      <c r="F745" s="173"/>
      <c r="G745" s="173"/>
      <c r="H745" s="173"/>
    </row>
    <row r="746" ht="14.25" customHeight="1">
      <c r="F746" s="173"/>
      <c r="G746" s="173"/>
      <c r="H746" s="173"/>
    </row>
    <row r="747" ht="14.25" customHeight="1">
      <c r="F747" s="173"/>
      <c r="G747" s="173"/>
      <c r="H747" s="173"/>
    </row>
    <row r="748" ht="14.25" customHeight="1">
      <c r="F748" s="173"/>
      <c r="G748" s="173"/>
      <c r="H748" s="173"/>
    </row>
    <row r="749" ht="14.25" customHeight="1">
      <c r="F749" s="173"/>
      <c r="G749" s="173"/>
      <c r="H749" s="173"/>
    </row>
    <row r="750" ht="14.25" customHeight="1">
      <c r="F750" s="173"/>
      <c r="G750" s="173"/>
      <c r="H750" s="173"/>
    </row>
    <row r="751" ht="14.25" customHeight="1">
      <c r="F751" s="173"/>
      <c r="G751" s="173"/>
      <c r="H751" s="173"/>
    </row>
    <row r="752" ht="14.25" customHeight="1">
      <c r="F752" s="173"/>
      <c r="G752" s="173"/>
      <c r="H752" s="173"/>
    </row>
    <row r="753" ht="14.25" customHeight="1">
      <c r="F753" s="173"/>
      <c r="G753" s="173"/>
      <c r="H753" s="173"/>
    </row>
    <row r="754" ht="14.25" customHeight="1">
      <c r="F754" s="173"/>
      <c r="G754" s="173"/>
      <c r="H754" s="173"/>
    </row>
    <row r="755" ht="14.25" customHeight="1">
      <c r="F755" s="173"/>
      <c r="G755" s="173"/>
      <c r="H755" s="173"/>
    </row>
    <row r="756" ht="14.25" customHeight="1">
      <c r="F756" s="173"/>
      <c r="G756" s="173"/>
      <c r="H756" s="173"/>
    </row>
    <row r="757" ht="14.25" customHeight="1">
      <c r="F757" s="173"/>
      <c r="G757" s="173"/>
      <c r="H757" s="173"/>
    </row>
    <row r="758" ht="14.25" customHeight="1">
      <c r="F758" s="173"/>
      <c r="G758" s="173"/>
      <c r="H758" s="173"/>
    </row>
    <row r="759" ht="14.25" customHeight="1">
      <c r="F759" s="173"/>
      <c r="G759" s="173"/>
      <c r="H759" s="173"/>
    </row>
    <row r="760" ht="14.25" customHeight="1">
      <c r="F760" s="173"/>
      <c r="G760" s="173"/>
      <c r="H760" s="173"/>
    </row>
    <row r="761" ht="14.25" customHeight="1">
      <c r="F761" s="173"/>
      <c r="G761" s="173"/>
      <c r="H761" s="173"/>
    </row>
    <row r="762" ht="14.25" customHeight="1">
      <c r="F762" s="173"/>
      <c r="G762" s="173"/>
      <c r="H762" s="173"/>
    </row>
    <row r="763" ht="14.25" customHeight="1">
      <c r="F763" s="173"/>
      <c r="G763" s="173"/>
      <c r="H763" s="173"/>
    </row>
    <row r="764" ht="14.25" customHeight="1">
      <c r="F764" s="173"/>
      <c r="G764" s="173"/>
      <c r="H764" s="173"/>
    </row>
    <row r="765" ht="14.25" customHeight="1">
      <c r="F765" s="173"/>
      <c r="G765" s="173"/>
      <c r="H765" s="173"/>
    </row>
    <row r="766" ht="14.25" customHeight="1">
      <c r="F766" s="173"/>
      <c r="G766" s="173"/>
      <c r="H766" s="173"/>
    </row>
    <row r="767" ht="14.25" customHeight="1">
      <c r="F767" s="173"/>
      <c r="G767" s="173"/>
      <c r="H767" s="173"/>
    </row>
    <row r="768" ht="14.25" customHeight="1">
      <c r="F768" s="173"/>
      <c r="G768" s="173"/>
      <c r="H768" s="173"/>
    </row>
    <row r="769" ht="14.25" customHeight="1">
      <c r="F769" s="173"/>
      <c r="G769" s="173"/>
      <c r="H769" s="173"/>
    </row>
    <row r="770" ht="14.25" customHeight="1">
      <c r="F770" s="173"/>
      <c r="G770" s="173"/>
      <c r="H770" s="173"/>
    </row>
    <row r="771" ht="14.25" customHeight="1">
      <c r="F771" s="173"/>
      <c r="G771" s="173"/>
      <c r="H771" s="173"/>
    </row>
    <row r="772" ht="14.25" customHeight="1">
      <c r="F772" s="173"/>
      <c r="G772" s="173"/>
      <c r="H772" s="173"/>
    </row>
    <row r="773" ht="14.25" customHeight="1">
      <c r="F773" s="173"/>
      <c r="G773" s="173"/>
      <c r="H773" s="173"/>
    </row>
    <row r="774" ht="14.25" customHeight="1">
      <c r="F774" s="173"/>
      <c r="G774" s="173"/>
      <c r="H774" s="173"/>
    </row>
    <row r="775" ht="14.25" customHeight="1">
      <c r="F775" s="173"/>
      <c r="G775" s="173"/>
      <c r="H775" s="173"/>
    </row>
    <row r="776" ht="14.25" customHeight="1">
      <c r="F776" s="173"/>
      <c r="G776" s="173"/>
      <c r="H776" s="173"/>
    </row>
    <row r="777" ht="14.25" customHeight="1">
      <c r="F777" s="173"/>
      <c r="G777" s="173"/>
      <c r="H777" s="173"/>
    </row>
    <row r="778" ht="14.25" customHeight="1">
      <c r="F778" s="173"/>
      <c r="G778" s="173"/>
      <c r="H778" s="173"/>
    </row>
    <row r="779" ht="14.25" customHeight="1">
      <c r="F779" s="173"/>
      <c r="G779" s="173"/>
      <c r="H779" s="173"/>
    </row>
    <row r="780" ht="14.25" customHeight="1">
      <c r="F780" s="173"/>
      <c r="G780" s="173"/>
      <c r="H780" s="173"/>
    </row>
    <row r="781" ht="14.25" customHeight="1">
      <c r="F781" s="173"/>
      <c r="G781" s="173"/>
      <c r="H781" s="173"/>
    </row>
    <row r="782" ht="14.25" customHeight="1">
      <c r="F782" s="173"/>
      <c r="G782" s="173"/>
      <c r="H782" s="173"/>
    </row>
    <row r="783" ht="14.25" customHeight="1">
      <c r="F783" s="173"/>
      <c r="G783" s="173"/>
      <c r="H783" s="173"/>
    </row>
    <row r="784" ht="14.25" customHeight="1">
      <c r="F784" s="173"/>
      <c r="G784" s="173"/>
      <c r="H784" s="173"/>
    </row>
    <row r="785" ht="14.25" customHeight="1">
      <c r="F785" s="173"/>
      <c r="G785" s="173"/>
      <c r="H785" s="173"/>
    </row>
    <row r="786" ht="14.25" customHeight="1">
      <c r="F786" s="173"/>
      <c r="G786" s="173"/>
      <c r="H786" s="173"/>
    </row>
    <row r="787" ht="14.25" customHeight="1">
      <c r="F787" s="173"/>
      <c r="G787" s="173"/>
      <c r="H787" s="173"/>
    </row>
    <row r="788" ht="14.25" customHeight="1">
      <c r="F788" s="173"/>
      <c r="G788" s="173"/>
      <c r="H788" s="173"/>
    </row>
    <row r="789" ht="14.25" customHeight="1">
      <c r="F789" s="173"/>
      <c r="G789" s="173"/>
      <c r="H789" s="173"/>
    </row>
    <row r="790" ht="14.25" customHeight="1">
      <c r="F790" s="173"/>
      <c r="G790" s="173"/>
      <c r="H790" s="173"/>
    </row>
    <row r="791" ht="14.25" customHeight="1">
      <c r="F791" s="173"/>
      <c r="G791" s="173"/>
      <c r="H791" s="173"/>
    </row>
    <row r="792" ht="14.25" customHeight="1">
      <c r="F792" s="173"/>
      <c r="G792" s="173"/>
      <c r="H792" s="173"/>
    </row>
    <row r="793" ht="14.25" customHeight="1">
      <c r="F793" s="173"/>
      <c r="G793" s="173"/>
      <c r="H793" s="173"/>
    </row>
    <row r="794" ht="14.25" customHeight="1">
      <c r="F794" s="173"/>
      <c r="G794" s="173"/>
      <c r="H794" s="173"/>
    </row>
    <row r="795" ht="14.25" customHeight="1">
      <c r="F795" s="173"/>
      <c r="G795" s="173"/>
      <c r="H795" s="173"/>
    </row>
    <row r="796" ht="14.25" customHeight="1">
      <c r="F796" s="173"/>
      <c r="G796" s="173"/>
      <c r="H796" s="173"/>
    </row>
    <row r="797" ht="14.25" customHeight="1">
      <c r="F797" s="173"/>
      <c r="G797" s="173"/>
      <c r="H797" s="173"/>
    </row>
    <row r="798" ht="14.25" customHeight="1">
      <c r="F798" s="173"/>
      <c r="G798" s="173"/>
      <c r="H798" s="173"/>
    </row>
    <row r="799" ht="14.25" customHeight="1">
      <c r="F799" s="173"/>
      <c r="G799" s="173"/>
      <c r="H799" s="173"/>
    </row>
    <row r="800" ht="14.25" customHeight="1">
      <c r="F800" s="173"/>
      <c r="G800" s="173"/>
      <c r="H800" s="173"/>
    </row>
    <row r="801" ht="14.25" customHeight="1">
      <c r="F801" s="173"/>
      <c r="G801" s="173"/>
      <c r="H801" s="173"/>
    </row>
    <row r="802" ht="14.25" customHeight="1">
      <c r="F802" s="173"/>
      <c r="G802" s="173"/>
      <c r="H802" s="173"/>
    </row>
    <row r="803" ht="14.25" customHeight="1">
      <c r="F803" s="173"/>
      <c r="G803" s="173"/>
      <c r="H803" s="173"/>
    </row>
    <row r="804" ht="14.25" customHeight="1">
      <c r="F804" s="173"/>
      <c r="G804" s="173"/>
      <c r="H804" s="173"/>
    </row>
    <row r="805" ht="14.25" customHeight="1">
      <c r="F805" s="173"/>
      <c r="G805" s="173"/>
      <c r="H805" s="173"/>
    </row>
    <row r="806" ht="14.25" customHeight="1">
      <c r="F806" s="173"/>
      <c r="G806" s="173"/>
      <c r="H806" s="173"/>
    </row>
    <row r="807" ht="14.25" customHeight="1">
      <c r="F807" s="173"/>
      <c r="G807" s="173"/>
      <c r="H807" s="173"/>
    </row>
    <row r="808" ht="14.25" customHeight="1">
      <c r="F808" s="173"/>
      <c r="G808" s="173"/>
      <c r="H808" s="173"/>
    </row>
    <row r="809" ht="14.25" customHeight="1">
      <c r="F809" s="173"/>
      <c r="G809" s="173"/>
      <c r="H809" s="173"/>
    </row>
    <row r="810" ht="14.25" customHeight="1">
      <c r="F810" s="173"/>
      <c r="G810" s="173"/>
      <c r="H810" s="173"/>
    </row>
    <row r="811" ht="14.25" customHeight="1">
      <c r="F811" s="173"/>
      <c r="G811" s="173"/>
      <c r="H811" s="173"/>
    </row>
    <row r="812" ht="14.25" customHeight="1">
      <c r="F812" s="173"/>
      <c r="G812" s="173"/>
      <c r="H812" s="173"/>
    </row>
    <row r="813" ht="14.25" customHeight="1">
      <c r="F813" s="173"/>
      <c r="G813" s="173"/>
      <c r="H813" s="173"/>
    </row>
    <row r="814" ht="14.25" customHeight="1">
      <c r="F814" s="173"/>
      <c r="G814" s="173"/>
      <c r="H814" s="173"/>
    </row>
    <row r="815" ht="14.25" customHeight="1">
      <c r="F815" s="173"/>
      <c r="G815" s="173"/>
      <c r="H815" s="173"/>
    </row>
    <row r="816" ht="14.25" customHeight="1">
      <c r="F816" s="173"/>
      <c r="G816" s="173"/>
      <c r="H816" s="173"/>
    </row>
    <row r="817" ht="14.25" customHeight="1">
      <c r="F817" s="173"/>
      <c r="G817" s="173"/>
      <c r="H817" s="173"/>
    </row>
    <row r="818" ht="14.25" customHeight="1">
      <c r="F818" s="173"/>
      <c r="G818" s="173"/>
      <c r="H818" s="173"/>
    </row>
    <row r="819" ht="14.25" customHeight="1">
      <c r="F819" s="173"/>
      <c r="G819" s="173"/>
      <c r="H819" s="173"/>
    </row>
    <row r="820" ht="14.25" customHeight="1">
      <c r="F820" s="173"/>
      <c r="G820" s="173"/>
      <c r="H820" s="173"/>
    </row>
    <row r="821" ht="14.25" customHeight="1">
      <c r="F821" s="173"/>
      <c r="G821" s="173"/>
      <c r="H821" s="173"/>
    </row>
    <row r="822" ht="14.25" customHeight="1">
      <c r="F822" s="173"/>
      <c r="G822" s="173"/>
      <c r="H822" s="173"/>
    </row>
    <row r="823" ht="14.25" customHeight="1">
      <c r="F823" s="173"/>
      <c r="G823" s="173"/>
      <c r="H823" s="173"/>
    </row>
    <row r="824" ht="14.25" customHeight="1">
      <c r="F824" s="173"/>
      <c r="G824" s="173"/>
      <c r="H824" s="173"/>
    </row>
    <row r="825" ht="14.25" customHeight="1">
      <c r="F825" s="173"/>
      <c r="G825" s="173"/>
      <c r="H825" s="173"/>
    </row>
    <row r="826" ht="14.25" customHeight="1">
      <c r="F826" s="173"/>
      <c r="G826" s="173"/>
      <c r="H826" s="173"/>
    </row>
    <row r="827" ht="14.25" customHeight="1">
      <c r="F827" s="173"/>
      <c r="G827" s="173"/>
      <c r="H827" s="173"/>
    </row>
    <row r="828" ht="14.25" customHeight="1">
      <c r="F828" s="173"/>
      <c r="G828" s="173"/>
      <c r="H828" s="173"/>
    </row>
    <row r="829" ht="14.25" customHeight="1">
      <c r="F829" s="173"/>
      <c r="G829" s="173"/>
      <c r="H829" s="173"/>
    </row>
    <row r="830" ht="14.25" customHeight="1">
      <c r="F830" s="173"/>
      <c r="G830" s="173"/>
      <c r="H830" s="173"/>
    </row>
    <row r="831" ht="14.25" customHeight="1">
      <c r="F831" s="173"/>
      <c r="G831" s="173"/>
      <c r="H831" s="173"/>
    </row>
    <row r="832" ht="14.25" customHeight="1">
      <c r="F832" s="173"/>
      <c r="G832" s="173"/>
      <c r="H832" s="173"/>
    </row>
    <row r="833" ht="14.25" customHeight="1">
      <c r="F833" s="173"/>
      <c r="G833" s="173"/>
      <c r="H833" s="173"/>
    </row>
    <row r="834" ht="14.25" customHeight="1">
      <c r="F834" s="173"/>
      <c r="G834" s="173"/>
      <c r="H834" s="173"/>
    </row>
    <row r="835" ht="14.25" customHeight="1">
      <c r="F835" s="173"/>
      <c r="G835" s="173"/>
      <c r="H835" s="173"/>
    </row>
    <row r="836" ht="14.25" customHeight="1">
      <c r="F836" s="173"/>
      <c r="G836" s="173"/>
      <c r="H836" s="173"/>
    </row>
    <row r="837" ht="14.25" customHeight="1">
      <c r="F837" s="173"/>
      <c r="G837" s="173"/>
      <c r="H837" s="173"/>
    </row>
    <row r="838" ht="14.25" customHeight="1">
      <c r="F838" s="173"/>
      <c r="G838" s="173"/>
      <c r="H838" s="173"/>
    </row>
    <row r="839" ht="14.25" customHeight="1">
      <c r="F839" s="173"/>
      <c r="G839" s="173"/>
      <c r="H839" s="173"/>
    </row>
    <row r="840" ht="14.25" customHeight="1">
      <c r="F840" s="173"/>
      <c r="G840" s="173"/>
      <c r="H840" s="173"/>
    </row>
    <row r="841" ht="14.25" customHeight="1">
      <c r="F841" s="173"/>
      <c r="G841" s="173"/>
      <c r="H841" s="173"/>
    </row>
    <row r="842" ht="14.25" customHeight="1">
      <c r="F842" s="173"/>
      <c r="G842" s="173"/>
      <c r="H842" s="173"/>
    </row>
    <row r="843" ht="14.25" customHeight="1">
      <c r="F843" s="173"/>
      <c r="G843" s="173"/>
      <c r="H843" s="173"/>
    </row>
    <row r="844" ht="14.25" customHeight="1">
      <c r="F844" s="173"/>
      <c r="G844" s="173"/>
      <c r="H844" s="173"/>
    </row>
    <row r="845" ht="14.25" customHeight="1">
      <c r="F845" s="173"/>
      <c r="G845" s="173"/>
      <c r="H845" s="173"/>
    </row>
    <row r="846" ht="14.25" customHeight="1">
      <c r="F846" s="173"/>
      <c r="G846" s="173"/>
      <c r="H846" s="173"/>
    </row>
    <row r="847" ht="14.25" customHeight="1">
      <c r="F847" s="173"/>
      <c r="G847" s="173"/>
      <c r="H847" s="173"/>
    </row>
    <row r="848" ht="14.25" customHeight="1">
      <c r="F848" s="173"/>
      <c r="G848" s="173"/>
      <c r="H848" s="173"/>
    </row>
    <row r="849" ht="14.25" customHeight="1">
      <c r="F849" s="173"/>
      <c r="G849" s="173"/>
      <c r="H849" s="173"/>
    </row>
    <row r="850" ht="14.25" customHeight="1">
      <c r="F850" s="173"/>
      <c r="G850" s="173"/>
      <c r="H850" s="173"/>
    </row>
    <row r="851" ht="14.25" customHeight="1">
      <c r="F851" s="173"/>
      <c r="G851" s="173"/>
      <c r="H851" s="173"/>
    </row>
    <row r="852" ht="14.25" customHeight="1">
      <c r="F852" s="173"/>
      <c r="G852" s="173"/>
      <c r="H852" s="173"/>
    </row>
    <row r="853" ht="14.25" customHeight="1">
      <c r="F853" s="173"/>
      <c r="G853" s="173"/>
      <c r="H853" s="173"/>
    </row>
    <row r="854" ht="14.25" customHeight="1">
      <c r="F854" s="173"/>
      <c r="G854" s="173"/>
      <c r="H854" s="173"/>
    </row>
    <row r="855" ht="14.25" customHeight="1">
      <c r="F855" s="173"/>
      <c r="G855" s="173"/>
      <c r="H855" s="173"/>
    </row>
    <row r="856" ht="14.25" customHeight="1">
      <c r="F856" s="173"/>
      <c r="G856" s="173"/>
      <c r="H856" s="173"/>
    </row>
    <row r="857" ht="14.25" customHeight="1">
      <c r="F857" s="173"/>
      <c r="G857" s="173"/>
      <c r="H857" s="173"/>
    </row>
    <row r="858" ht="14.25" customHeight="1">
      <c r="F858" s="173"/>
      <c r="G858" s="173"/>
      <c r="H858" s="173"/>
    </row>
    <row r="859" ht="14.25" customHeight="1">
      <c r="F859" s="173"/>
      <c r="G859" s="173"/>
      <c r="H859" s="173"/>
    </row>
    <row r="860" ht="14.25" customHeight="1">
      <c r="F860" s="173"/>
      <c r="G860" s="173"/>
      <c r="H860" s="173"/>
    </row>
    <row r="861" ht="14.25" customHeight="1">
      <c r="F861" s="173"/>
      <c r="G861" s="173"/>
      <c r="H861" s="173"/>
    </row>
    <row r="862" ht="14.25" customHeight="1">
      <c r="F862" s="173"/>
      <c r="G862" s="173"/>
      <c r="H862" s="173"/>
    </row>
    <row r="863" ht="14.25" customHeight="1">
      <c r="F863" s="173"/>
      <c r="G863" s="173"/>
      <c r="H863" s="173"/>
    </row>
    <row r="864" ht="14.25" customHeight="1">
      <c r="F864" s="173"/>
      <c r="G864" s="173"/>
      <c r="H864" s="173"/>
    </row>
    <row r="865" ht="14.25" customHeight="1">
      <c r="F865" s="173"/>
      <c r="G865" s="173"/>
      <c r="H865" s="173"/>
    </row>
    <row r="866" ht="14.25" customHeight="1">
      <c r="F866" s="173"/>
      <c r="G866" s="173"/>
      <c r="H866" s="173"/>
    </row>
    <row r="867" ht="14.25" customHeight="1">
      <c r="F867" s="173"/>
      <c r="G867" s="173"/>
      <c r="H867" s="173"/>
    </row>
    <row r="868" ht="14.25" customHeight="1">
      <c r="F868" s="173"/>
      <c r="G868" s="173"/>
      <c r="H868" s="173"/>
    </row>
    <row r="869" ht="14.25" customHeight="1">
      <c r="F869" s="173"/>
      <c r="G869" s="173"/>
      <c r="H869" s="173"/>
    </row>
    <row r="870" ht="14.25" customHeight="1">
      <c r="F870" s="173"/>
      <c r="G870" s="173"/>
      <c r="H870" s="173"/>
    </row>
    <row r="871" ht="14.25" customHeight="1">
      <c r="F871" s="173"/>
      <c r="G871" s="173"/>
      <c r="H871" s="173"/>
    </row>
    <row r="872" ht="14.25" customHeight="1">
      <c r="F872" s="173"/>
      <c r="G872" s="173"/>
      <c r="H872" s="173"/>
    </row>
    <row r="873" ht="14.25" customHeight="1">
      <c r="F873" s="173"/>
      <c r="G873" s="173"/>
      <c r="H873" s="173"/>
    </row>
    <row r="874" ht="14.25" customHeight="1">
      <c r="F874" s="173"/>
      <c r="G874" s="173"/>
      <c r="H874" s="173"/>
    </row>
    <row r="875" ht="14.25" customHeight="1">
      <c r="F875" s="173"/>
      <c r="G875" s="173"/>
      <c r="H875" s="173"/>
    </row>
    <row r="876" ht="14.25" customHeight="1">
      <c r="F876" s="173"/>
      <c r="G876" s="173"/>
      <c r="H876" s="173"/>
    </row>
    <row r="877" ht="14.25" customHeight="1">
      <c r="F877" s="173"/>
      <c r="G877" s="173"/>
      <c r="H877" s="173"/>
    </row>
    <row r="878" ht="14.25" customHeight="1">
      <c r="F878" s="173"/>
      <c r="G878" s="173"/>
      <c r="H878" s="173"/>
    </row>
    <row r="879" ht="14.25" customHeight="1">
      <c r="F879" s="173"/>
      <c r="G879" s="173"/>
      <c r="H879" s="173"/>
    </row>
    <row r="880" ht="14.25" customHeight="1">
      <c r="F880" s="173"/>
      <c r="G880" s="173"/>
      <c r="H880" s="173"/>
    </row>
    <row r="881" ht="14.25" customHeight="1">
      <c r="F881" s="173"/>
      <c r="G881" s="173"/>
      <c r="H881" s="173"/>
    </row>
    <row r="882" ht="14.25" customHeight="1">
      <c r="F882" s="173"/>
      <c r="G882" s="173"/>
      <c r="H882" s="173"/>
    </row>
    <row r="883" ht="14.25" customHeight="1">
      <c r="F883" s="173"/>
      <c r="G883" s="173"/>
      <c r="H883" s="173"/>
    </row>
    <row r="884" ht="14.25" customHeight="1">
      <c r="F884" s="173"/>
      <c r="G884" s="173"/>
      <c r="H884" s="173"/>
    </row>
    <row r="885" ht="14.25" customHeight="1">
      <c r="F885" s="173"/>
      <c r="G885" s="173"/>
      <c r="H885" s="173"/>
    </row>
    <row r="886" ht="14.25" customHeight="1">
      <c r="F886" s="173"/>
      <c r="G886" s="173"/>
      <c r="H886" s="173"/>
    </row>
    <row r="887" ht="14.25" customHeight="1">
      <c r="F887" s="173"/>
      <c r="G887" s="173"/>
      <c r="H887" s="173"/>
    </row>
    <row r="888" ht="14.25" customHeight="1">
      <c r="F888" s="173"/>
      <c r="G888" s="173"/>
      <c r="H888" s="173"/>
    </row>
    <row r="889" ht="14.25" customHeight="1">
      <c r="F889" s="173"/>
      <c r="G889" s="173"/>
      <c r="H889" s="173"/>
    </row>
    <row r="890" ht="14.25" customHeight="1">
      <c r="F890" s="173"/>
      <c r="G890" s="173"/>
      <c r="H890" s="173"/>
    </row>
    <row r="891" ht="14.25" customHeight="1">
      <c r="F891" s="173"/>
      <c r="G891" s="173"/>
      <c r="H891" s="173"/>
    </row>
    <row r="892" ht="14.25" customHeight="1">
      <c r="F892" s="173"/>
      <c r="G892" s="173"/>
      <c r="H892" s="173"/>
    </row>
    <row r="893" ht="14.25" customHeight="1">
      <c r="F893" s="173"/>
      <c r="G893" s="173"/>
      <c r="H893" s="173"/>
    </row>
    <row r="894" ht="14.25" customHeight="1">
      <c r="F894" s="173"/>
      <c r="G894" s="173"/>
      <c r="H894" s="173"/>
    </row>
    <row r="895" ht="14.25" customHeight="1">
      <c r="F895" s="173"/>
      <c r="G895" s="173"/>
      <c r="H895" s="173"/>
    </row>
    <row r="896" ht="14.25" customHeight="1">
      <c r="F896" s="173"/>
      <c r="G896" s="173"/>
      <c r="H896" s="173"/>
    </row>
    <row r="897" ht="14.25" customHeight="1">
      <c r="F897" s="173"/>
      <c r="G897" s="173"/>
      <c r="H897" s="173"/>
    </row>
    <row r="898" ht="14.25" customHeight="1">
      <c r="F898" s="173"/>
      <c r="G898" s="173"/>
      <c r="H898" s="173"/>
    </row>
    <row r="899" ht="14.25" customHeight="1">
      <c r="F899" s="173"/>
      <c r="G899" s="173"/>
      <c r="H899" s="173"/>
    </row>
    <row r="900" ht="14.25" customHeight="1">
      <c r="F900" s="173"/>
      <c r="G900" s="173"/>
      <c r="H900" s="173"/>
    </row>
    <row r="901" ht="14.25" customHeight="1">
      <c r="F901" s="173"/>
      <c r="G901" s="173"/>
      <c r="H901" s="173"/>
    </row>
    <row r="902" ht="14.25" customHeight="1">
      <c r="F902" s="173"/>
      <c r="G902" s="173"/>
      <c r="H902" s="173"/>
    </row>
    <row r="903" ht="14.25" customHeight="1">
      <c r="F903" s="173"/>
      <c r="G903" s="173"/>
      <c r="H903" s="173"/>
    </row>
    <row r="904" ht="14.25" customHeight="1">
      <c r="F904" s="173"/>
      <c r="G904" s="173"/>
      <c r="H904" s="173"/>
    </row>
    <row r="905" ht="14.25" customHeight="1">
      <c r="F905" s="173"/>
      <c r="G905" s="173"/>
      <c r="H905" s="173"/>
    </row>
    <row r="906" ht="14.25" customHeight="1">
      <c r="F906" s="173"/>
      <c r="G906" s="173"/>
      <c r="H906" s="173"/>
    </row>
    <row r="907" ht="14.25" customHeight="1">
      <c r="F907" s="173"/>
      <c r="G907" s="173"/>
      <c r="H907" s="173"/>
    </row>
    <row r="908" ht="14.25" customHeight="1">
      <c r="F908" s="173"/>
      <c r="G908" s="173"/>
      <c r="H908" s="173"/>
    </row>
    <row r="909" ht="14.25" customHeight="1">
      <c r="F909" s="173"/>
      <c r="G909" s="173"/>
      <c r="H909" s="173"/>
    </row>
    <row r="910" ht="14.25" customHeight="1">
      <c r="F910" s="173"/>
      <c r="G910" s="173"/>
      <c r="H910" s="173"/>
    </row>
    <row r="911" ht="14.25" customHeight="1">
      <c r="F911" s="173"/>
      <c r="G911" s="173"/>
      <c r="H911" s="173"/>
    </row>
    <row r="912" ht="14.25" customHeight="1">
      <c r="F912" s="173"/>
      <c r="G912" s="173"/>
      <c r="H912" s="173"/>
    </row>
    <row r="913" ht="14.25" customHeight="1">
      <c r="F913" s="173"/>
      <c r="G913" s="173"/>
      <c r="H913" s="173"/>
    </row>
    <row r="914" ht="14.25" customHeight="1">
      <c r="F914" s="173"/>
      <c r="G914" s="173"/>
      <c r="H914" s="173"/>
    </row>
    <row r="915" ht="14.25" customHeight="1">
      <c r="F915" s="173"/>
      <c r="G915" s="173"/>
      <c r="H915" s="173"/>
    </row>
    <row r="916" ht="14.25" customHeight="1">
      <c r="F916" s="173"/>
      <c r="G916" s="173"/>
      <c r="H916" s="173"/>
    </row>
    <row r="917" ht="14.25" customHeight="1">
      <c r="F917" s="173"/>
      <c r="G917" s="173"/>
      <c r="H917" s="173"/>
    </row>
    <row r="918" ht="14.25" customHeight="1">
      <c r="F918" s="173"/>
      <c r="G918" s="173"/>
      <c r="H918" s="173"/>
    </row>
    <row r="919" ht="14.25" customHeight="1">
      <c r="F919" s="173"/>
      <c r="G919" s="173"/>
      <c r="H919" s="173"/>
    </row>
    <row r="920" ht="14.25" customHeight="1">
      <c r="F920" s="173"/>
      <c r="G920" s="173"/>
      <c r="H920" s="173"/>
    </row>
    <row r="921" ht="14.25" customHeight="1">
      <c r="F921" s="173"/>
      <c r="G921" s="173"/>
      <c r="H921" s="173"/>
    </row>
    <row r="922" ht="14.25" customHeight="1">
      <c r="F922" s="173"/>
      <c r="G922" s="173"/>
      <c r="H922" s="173"/>
    </row>
    <row r="923" ht="14.25" customHeight="1">
      <c r="F923" s="173"/>
      <c r="G923" s="173"/>
      <c r="H923" s="173"/>
    </row>
    <row r="924" ht="14.25" customHeight="1">
      <c r="F924" s="173"/>
      <c r="G924" s="173"/>
      <c r="H924" s="173"/>
    </row>
    <row r="925" ht="14.25" customHeight="1">
      <c r="F925" s="173"/>
      <c r="G925" s="173"/>
      <c r="H925" s="173"/>
    </row>
    <row r="926" ht="14.25" customHeight="1">
      <c r="F926" s="173"/>
      <c r="G926" s="173"/>
      <c r="H926" s="173"/>
    </row>
    <row r="927" ht="14.25" customHeight="1">
      <c r="F927" s="173"/>
      <c r="G927" s="173"/>
      <c r="H927" s="173"/>
    </row>
    <row r="928" ht="14.25" customHeight="1">
      <c r="F928" s="173"/>
      <c r="G928" s="173"/>
      <c r="H928" s="173"/>
    </row>
    <row r="929" ht="14.25" customHeight="1">
      <c r="F929" s="173"/>
      <c r="G929" s="173"/>
      <c r="H929" s="173"/>
    </row>
    <row r="930" ht="14.25" customHeight="1">
      <c r="F930" s="173"/>
      <c r="G930" s="173"/>
      <c r="H930" s="173"/>
    </row>
    <row r="931" ht="14.25" customHeight="1">
      <c r="F931" s="173"/>
      <c r="G931" s="173"/>
      <c r="H931" s="173"/>
    </row>
    <row r="932" ht="14.25" customHeight="1">
      <c r="F932" s="173"/>
      <c r="G932" s="173"/>
      <c r="H932" s="173"/>
    </row>
    <row r="933" ht="14.25" customHeight="1">
      <c r="F933" s="173"/>
      <c r="G933" s="173"/>
      <c r="H933" s="173"/>
    </row>
    <row r="934" ht="14.25" customHeight="1">
      <c r="F934" s="173"/>
      <c r="G934" s="173"/>
      <c r="H934" s="173"/>
    </row>
    <row r="935" ht="14.25" customHeight="1">
      <c r="F935" s="173"/>
      <c r="G935" s="173"/>
      <c r="H935" s="173"/>
    </row>
    <row r="936" ht="14.25" customHeight="1">
      <c r="F936" s="173"/>
      <c r="G936" s="173"/>
      <c r="H936" s="173"/>
    </row>
    <row r="937" ht="14.25" customHeight="1">
      <c r="F937" s="173"/>
      <c r="G937" s="173"/>
      <c r="H937" s="173"/>
    </row>
    <row r="938" ht="14.25" customHeight="1">
      <c r="F938" s="173"/>
      <c r="G938" s="173"/>
      <c r="H938" s="173"/>
    </row>
    <row r="939" ht="14.25" customHeight="1">
      <c r="F939" s="173"/>
      <c r="G939" s="173"/>
      <c r="H939" s="173"/>
    </row>
    <row r="940" ht="14.25" customHeight="1">
      <c r="F940" s="173"/>
      <c r="G940" s="173"/>
      <c r="H940" s="173"/>
    </row>
    <row r="941" ht="14.25" customHeight="1">
      <c r="F941" s="173"/>
      <c r="G941" s="173"/>
      <c r="H941" s="173"/>
    </row>
    <row r="942" ht="14.25" customHeight="1">
      <c r="F942" s="173"/>
      <c r="G942" s="173"/>
      <c r="H942" s="173"/>
    </row>
    <row r="943" ht="14.25" customHeight="1">
      <c r="F943" s="173"/>
      <c r="G943" s="173"/>
      <c r="H943" s="173"/>
    </row>
    <row r="944" ht="14.25" customHeight="1">
      <c r="F944" s="173"/>
      <c r="G944" s="173"/>
      <c r="H944" s="173"/>
    </row>
    <row r="945" ht="14.25" customHeight="1">
      <c r="F945" s="173"/>
      <c r="G945" s="173"/>
      <c r="H945" s="173"/>
    </row>
    <row r="946" ht="14.25" customHeight="1">
      <c r="F946" s="173"/>
      <c r="G946" s="173"/>
      <c r="H946" s="173"/>
    </row>
    <row r="947" ht="14.25" customHeight="1">
      <c r="F947" s="173"/>
      <c r="G947" s="173"/>
      <c r="H947" s="173"/>
    </row>
    <row r="948" ht="14.25" customHeight="1">
      <c r="F948" s="173"/>
      <c r="G948" s="173"/>
      <c r="H948" s="173"/>
    </row>
    <row r="949" ht="14.25" customHeight="1">
      <c r="F949" s="173"/>
      <c r="G949" s="173"/>
      <c r="H949" s="173"/>
    </row>
    <row r="950" ht="14.25" customHeight="1">
      <c r="F950" s="173"/>
      <c r="G950" s="173"/>
      <c r="H950" s="173"/>
    </row>
    <row r="951" ht="14.25" customHeight="1">
      <c r="F951" s="173"/>
      <c r="G951" s="173"/>
      <c r="H951" s="173"/>
    </row>
    <row r="952" ht="14.25" customHeight="1">
      <c r="F952" s="173"/>
      <c r="G952" s="173"/>
      <c r="H952" s="173"/>
    </row>
    <row r="953" ht="14.25" customHeight="1">
      <c r="F953" s="173"/>
      <c r="G953" s="173"/>
      <c r="H953" s="173"/>
    </row>
    <row r="954" ht="14.25" customHeight="1">
      <c r="F954" s="173"/>
      <c r="G954" s="173"/>
      <c r="H954" s="173"/>
    </row>
    <row r="955" ht="14.25" customHeight="1">
      <c r="F955" s="173"/>
      <c r="G955" s="173"/>
      <c r="H955" s="173"/>
    </row>
    <row r="956" ht="14.25" customHeight="1">
      <c r="F956" s="173"/>
      <c r="G956" s="173"/>
      <c r="H956" s="173"/>
    </row>
    <row r="957" ht="14.25" customHeight="1">
      <c r="F957" s="173"/>
      <c r="G957" s="173"/>
      <c r="H957" s="173"/>
    </row>
    <row r="958" ht="14.25" customHeight="1">
      <c r="F958" s="173"/>
      <c r="G958" s="173"/>
      <c r="H958" s="173"/>
    </row>
    <row r="959" ht="14.25" customHeight="1">
      <c r="F959" s="173"/>
      <c r="G959" s="173"/>
      <c r="H959" s="173"/>
    </row>
    <row r="960" ht="14.25" customHeight="1">
      <c r="F960" s="173"/>
      <c r="G960" s="173"/>
      <c r="H960" s="173"/>
    </row>
    <row r="961" ht="14.25" customHeight="1">
      <c r="F961" s="173"/>
      <c r="G961" s="173"/>
      <c r="H961" s="173"/>
    </row>
    <row r="962" ht="14.25" customHeight="1">
      <c r="F962" s="173"/>
      <c r="G962" s="173"/>
      <c r="H962" s="173"/>
    </row>
    <row r="963" ht="14.25" customHeight="1">
      <c r="F963" s="173"/>
      <c r="G963" s="173"/>
      <c r="H963" s="173"/>
    </row>
    <row r="964" ht="14.25" customHeight="1">
      <c r="F964" s="173"/>
      <c r="G964" s="173"/>
      <c r="H964" s="173"/>
    </row>
    <row r="965" ht="14.25" customHeight="1">
      <c r="F965" s="173"/>
      <c r="G965" s="173"/>
      <c r="H965" s="173"/>
    </row>
    <row r="966" ht="14.25" customHeight="1">
      <c r="F966" s="173"/>
      <c r="G966" s="173"/>
      <c r="H966" s="173"/>
    </row>
    <row r="967" ht="14.25" customHeight="1">
      <c r="F967" s="173"/>
      <c r="G967" s="173"/>
      <c r="H967" s="173"/>
    </row>
    <row r="968" ht="14.25" customHeight="1">
      <c r="F968" s="173"/>
      <c r="G968" s="173"/>
      <c r="H968" s="173"/>
    </row>
    <row r="969" ht="14.25" customHeight="1">
      <c r="F969" s="173"/>
      <c r="G969" s="173"/>
      <c r="H969" s="173"/>
    </row>
    <row r="970" ht="14.25" customHeight="1">
      <c r="F970" s="173"/>
      <c r="G970" s="173"/>
      <c r="H970" s="173"/>
    </row>
    <row r="971" ht="14.25" customHeight="1">
      <c r="F971" s="173"/>
      <c r="G971" s="173"/>
      <c r="H971" s="173"/>
    </row>
    <row r="972" ht="14.25" customHeight="1">
      <c r="F972" s="173"/>
      <c r="G972" s="173"/>
      <c r="H972" s="173"/>
    </row>
    <row r="973" ht="14.25" customHeight="1">
      <c r="F973" s="173"/>
      <c r="G973" s="173"/>
      <c r="H973" s="173"/>
    </row>
    <row r="974" ht="14.25" customHeight="1">
      <c r="F974" s="173"/>
      <c r="G974" s="173"/>
      <c r="H974" s="173"/>
    </row>
    <row r="975" ht="14.25" customHeight="1">
      <c r="F975" s="173"/>
      <c r="G975" s="173"/>
      <c r="H975" s="173"/>
    </row>
    <row r="976" ht="14.25" customHeight="1">
      <c r="F976" s="173"/>
      <c r="G976" s="173"/>
      <c r="H976" s="173"/>
    </row>
    <row r="977" ht="14.25" customHeight="1">
      <c r="F977" s="173"/>
      <c r="G977" s="173"/>
      <c r="H977" s="173"/>
    </row>
    <row r="978" ht="14.25" customHeight="1">
      <c r="F978" s="173"/>
      <c r="G978" s="173"/>
      <c r="H978" s="173"/>
    </row>
    <row r="979" ht="14.25" customHeight="1">
      <c r="F979" s="173"/>
      <c r="G979" s="173"/>
      <c r="H979" s="173"/>
    </row>
    <row r="980" ht="14.25" customHeight="1">
      <c r="F980" s="173"/>
      <c r="G980" s="173"/>
      <c r="H980" s="173"/>
    </row>
    <row r="981" ht="14.25" customHeight="1">
      <c r="F981" s="173"/>
      <c r="G981" s="173"/>
      <c r="H981" s="173"/>
    </row>
    <row r="982" ht="14.25" customHeight="1">
      <c r="F982" s="173"/>
      <c r="G982" s="173"/>
      <c r="H982" s="173"/>
    </row>
    <row r="983" ht="14.25" customHeight="1">
      <c r="F983" s="173"/>
      <c r="G983" s="173"/>
      <c r="H983" s="173"/>
    </row>
    <row r="984" ht="14.25" customHeight="1">
      <c r="F984" s="173"/>
      <c r="G984" s="173"/>
      <c r="H984" s="173"/>
    </row>
    <row r="985" ht="14.25" customHeight="1">
      <c r="F985" s="173"/>
      <c r="G985" s="173"/>
      <c r="H985" s="173"/>
    </row>
    <row r="986" ht="14.25" customHeight="1">
      <c r="F986" s="173"/>
      <c r="G986" s="173"/>
      <c r="H986" s="173"/>
    </row>
    <row r="987" ht="14.25" customHeight="1">
      <c r="F987" s="173"/>
      <c r="G987" s="173"/>
      <c r="H987" s="173"/>
    </row>
  </sheetData>
  <customSheetViews>
    <customSheetView guid="{41EAD126-16FB-4A8D-894A-CEA6439A4201}" filter="1" showAutoFilter="1">
      <autoFilter ref="$A$2:$AR$47"/>
    </customSheetView>
  </customSheetViews>
  <mergeCells count="9">
    <mergeCell ref="AK1:AN1"/>
    <mergeCell ref="AP1:AR1"/>
    <mergeCell ref="D1:E1"/>
    <mergeCell ref="F1:H1"/>
    <mergeCell ref="I1:U1"/>
    <mergeCell ref="V1:X1"/>
    <mergeCell ref="Y1:AC1"/>
    <mergeCell ref="AD1:AG1"/>
    <mergeCell ref="AH1:AJ1"/>
  </mergeCells>
  <conditionalFormatting sqref="AB3:AB45">
    <cfRule type="containsText" dxfId="4" priority="1" operator="containsText" text="SI">
      <formula>NOT(ISERROR(SEARCH(("SI"),(AB3))))</formula>
    </cfRule>
  </conditionalFormatting>
  <conditionalFormatting sqref="AB3:AB45">
    <cfRule type="containsText" dxfId="5" priority="2" operator="containsText" text="NO">
      <formula>NOT(ISERROR(SEARCH(("NO"),(AB3))))</formula>
    </cfRule>
  </conditionalFormatting>
  <conditionalFormatting sqref="AF3:AF45">
    <cfRule type="containsText" dxfId="4" priority="3" operator="containsText" text="SI">
      <formula>NOT(ISERROR(SEARCH(("SI"),(AF3))))</formula>
    </cfRule>
  </conditionalFormatting>
  <conditionalFormatting sqref="AF3:AF45">
    <cfRule type="containsText" dxfId="5" priority="4" operator="containsText" text="NO">
      <formula>NOT(ISERROR(SEARCH(("NO"),(AF3))))</formula>
    </cfRule>
  </conditionalFormatting>
  <conditionalFormatting sqref="AR4">
    <cfRule type="cellIs" dxfId="6" priority="5" operator="greaterThan">
      <formula>59.99</formula>
    </cfRule>
  </conditionalFormatting>
  <conditionalFormatting sqref="AR4">
    <cfRule type="cellIs" dxfId="7" priority="6" operator="greaterThanOrEqual">
      <formula>59.99</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hidden="1" min="1" max="1" width="21.43"/>
    <col customWidth="1" hidden="1" min="2" max="2" width="12.71"/>
    <col customWidth="1" min="3" max="3" width="38.71"/>
    <col customWidth="1" min="4" max="4" width="6.43"/>
    <col customWidth="1" min="5" max="5" width="6.29"/>
    <col customWidth="1" min="6" max="6" width="8.43"/>
    <col customWidth="1" min="7" max="8" width="9.71"/>
    <col customWidth="1" min="9" max="24" width="8.14"/>
    <col customWidth="1" min="25" max="29" width="7.71"/>
    <col customWidth="1" min="30" max="33" width="8.86"/>
    <col customWidth="1" min="34" max="36" width="11.43"/>
    <col customWidth="1" min="37" max="37" width="10.71"/>
    <col customWidth="1" min="38" max="38" width="10.14"/>
    <col customWidth="1" min="39" max="39" width="10.71"/>
    <col customWidth="1" min="40" max="40" width="11.43"/>
    <col customWidth="1" min="41" max="41" width="15.14"/>
    <col customWidth="1" min="42" max="44" width="11.43"/>
  </cols>
  <sheetData>
    <row r="1" ht="68.25" customHeight="1">
      <c r="D1" s="1" t="s">
        <v>250</v>
      </c>
      <c r="E1" s="2"/>
      <c r="F1" s="3" t="s">
        <v>1</v>
      </c>
      <c r="G1" s="4"/>
      <c r="H1" s="5"/>
      <c r="I1" s="6" t="s">
        <v>2</v>
      </c>
      <c r="J1" s="4"/>
      <c r="K1" s="4"/>
      <c r="L1" s="4"/>
      <c r="M1" s="4"/>
      <c r="N1" s="4"/>
      <c r="O1" s="4"/>
      <c r="P1" s="4"/>
      <c r="Q1" s="4"/>
      <c r="R1" s="4"/>
      <c r="S1" s="4"/>
      <c r="T1" s="4"/>
      <c r="U1" s="5"/>
      <c r="V1" s="7" t="s">
        <v>3</v>
      </c>
      <c r="W1" s="4"/>
      <c r="X1" s="5"/>
      <c r="Y1" s="174" t="s">
        <v>162</v>
      </c>
      <c r="Z1" s="4"/>
      <c r="AA1" s="4"/>
      <c r="AB1" s="4"/>
      <c r="AC1" s="5"/>
      <c r="AD1" s="175" t="s">
        <v>251</v>
      </c>
      <c r="AE1" s="4"/>
      <c r="AF1" s="4"/>
      <c r="AG1" s="10"/>
      <c r="AH1" s="11" t="s">
        <v>6</v>
      </c>
      <c r="AI1" s="4"/>
      <c r="AJ1" s="5"/>
      <c r="AK1" s="176" t="s">
        <v>252</v>
      </c>
      <c r="AL1" s="4"/>
      <c r="AM1" s="4"/>
      <c r="AN1" s="5"/>
      <c r="AO1" s="13" t="s">
        <v>8</v>
      </c>
      <c r="AP1" s="14" t="s">
        <v>9</v>
      </c>
      <c r="AQ1" s="4"/>
      <c r="AR1" s="5"/>
    </row>
    <row r="2" ht="29.25" customHeight="1">
      <c r="A2" s="15" t="s">
        <v>10</v>
      </c>
      <c r="B2" s="16" t="s">
        <v>11</v>
      </c>
      <c r="C2" s="16" t="s">
        <v>12</v>
      </c>
      <c r="D2" s="17" t="s">
        <v>13</v>
      </c>
      <c r="E2" s="16" t="s">
        <v>14</v>
      </c>
      <c r="F2" s="18" t="s">
        <v>15</v>
      </c>
      <c r="G2" s="18" t="s">
        <v>16</v>
      </c>
      <c r="H2" s="177" t="s">
        <v>253</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30" t="s">
        <v>34</v>
      </c>
      <c r="Z2" s="30" t="s">
        <v>35</v>
      </c>
      <c r="AA2" s="30" t="s">
        <v>36</v>
      </c>
      <c r="AB2" s="30" t="s">
        <v>37</v>
      </c>
      <c r="AC2" s="30" t="s">
        <v>38</v>
      </c>
      <c r="AD2" s="178" t="s">
        <v>39</v>
      </c>
      <c r="AE2" s="178" t="s">
        <v>40</v>
      </c>
      <c r="AF2" s="31" t="s">
        <v>41</v>
      </c>
      <c r="AG2" s="32" t="s">
        <v>42</v>
      </c>
      <c r="AH2" s="33" t="s">
        <v>43</v>
      </c>
      <c r="AI2" s="33" t="s">
        <v>44</v>
      </c>
      <c r="AJ2" s="34" t="s">
        <v>45</v>
      </c>
      <c r="AK2" s="35" t="s">
        <v>46</v>
      </c>
      <c r="AL2" s="36" t="s">
        <v>47</v>
      </c>
      <c r="AM2" s="37" t="s">
        <v>48</v>
      </c>
      <c r="AN2" s="38" t="s">
        <v>49</v>
      </c>
      <c r="AO2" s="39" t="s">
        <v>50</v>
      </c>
      <c r="AP2" s="40" t="s">
        <v>51</v>
      </c>
      <c r="AQ2" s="40" t="s">
        <v>52</v>
      </c>
      <c r="AR2" s="179" t="s">
        <v>53</v>
      </c>
    </row>
    <row r="3" ht="14.25" customHeight="1">
      <c r="A3" s="180" t="s">
        <v>54</v>
      </c>
      <c r="B3" s="130" t="s">
        <v>55</v>
      </c>
      <c r="C3" s="130" t="s">
        <v>56</v>
      </c>
      <c r="D3" s="130">
        <v>0.0</v>
      </c>
      <c r="E3" s="130">
        <v>1.0</v>
      </c>
      <c r="F3" s="130">
        <v>1.0</v>
      </c>
      <c r="G3" s="130">
        <v>1.0</v>
      </c>
      <c r="H3" s="130">
        <v>1.0</v>
      </c>
      <c r="I3" s="130">
        <v>3.0</v>
      </c>
      <c r="J3" s="130">
        <v>2.0</v>
      </c>
      <c r="K3" s="130">
        <v>5.0</v>
      </c>
      <c r="L3" s="130">
        <f>SUM('P103'!$I3:$K3)</f>
        <v>10</v>
      </c>
      <c r="M3" s="130">
        <v>3.0</v>
      </c>
      <c r="N3" s="130">
        <v>2.0</v>
      </c>
      <c r="O3" s="130">
        <v>5.0</v>
      </c>
      <c r="P3" s="130">
        <f>SUM('P103'!$M3:$O3)</f>
        <v>10</v>
      </c>
      <c r="Q3" s="130">
        <v>3.0</v>
      </c>
      <c r="R3" s="130">
        <v>2.0</v>
      </c>
      <c r="S3" s="130">
        <v>5.0</v>
      </c>
      <c r="T3" s="130">
        <f>SUM('P103'!$Q3:$S3)</f>
        <v>10</v>
      </c>
      <c r="U3" s="130">
        <f>('P103'!$L3+'P103'!$P3+'P103'!$T3)*'P103'!$F3</f>
        <v>30</v>
      </c>
      <c r="V3" s="130">
        <v>5.0</v>
      </c>
      <c r="W3" s="130">
        <v>10.0</v>
      </c>
      <c r="X3" s="132">
        <f>SUM('P103'!$V3:$W3)*'P103'!$G3</f>
        <v>15</v>
      </c>
      <c r="Y3" s="130">
        <v>2.0</v>
      </c>
      <c r="Z3" s="130">
        <v>3.0</v>
      </c>
      <c r="AA3" s="130">
        <v>5.0</v>
      </c>
      <c r="AB3" s="130" t="str">
        <f>IF(SUM('P103'!$Y3:$AA3)&gt;5.9,"SI","NO")</f>
        <v>SI</v>
      </c>
      <c r="AC3" s="130">
        <f>SUM('P103'!$Y3:$AA3)</f>
        <v>10</v>
      </c>
      <c r="AD3" s="132">
        <v>2.0</v>
      </c>
      <c r="AE3" s="132">
        <v>8.0</v>
      </c>
      <c r="AF3" s="130" t="str">
        <f>IF('P103'!$AG3&gt;5.9,"SI","NO")</f>
        <v>SI</v>
      </c>
      <c r="AG3" s="132">
        <f>SUM('P103'!$AD3:$AE3)</f>
        <v>10</v>
      </c>
      <c r="AH3" s="132">
        <v>5.0</v>
      </c>
      <c r="AI3" s="132">
        <v>5.0</v>
      </c>
      <c r="AJ3" s="132">
        <f>AVERAGE('P103'!$AH3:$AI3)*'P103'!$H3</f>
        <v>5</v>
      </c>
      <c r="AK3" s="130">
        <v>1.0</v>
      </c>
      <c r="AL3" s="133">
        <v>10.0</v>
      </c>
      <c r="AM3" s="133">
        <v>10.0</v>
      </c>
      <c r="AN3" s="130">
        <f>(('P103'!$AL3+'P103'!$AM3))*'P103'!$AK3</f>
        <v>20</v>
      </c>
      <c r="AO3" s="130">
        <v>10.0</v>
      </c>
      <c r="AP3" s="130">
        <f>SUM('P103'!$U3)</f>
        <v>30</v>
      </c>
      <c r="AQ3" s="134">
        <f>SUM(AN3,AJ3,AG3,AC3,X3,'P103'!$AO3)</f>
        <v>70</v>
      </c>
      <c r="AR3" s="134">
        <f>'P103'!$AP3+'P103'!$AQ3</f>
        <v>100</v>
      </c>
    </row>
    <row r="4" ht="14.25" customHeight="1">
      <c r="A4" s="181" t="s">
        <v>254</v>
      </c>
      <c r="B4" s="182">
        <v>2.0230929E8</v>
      </c>
      <c r="C4" s="183" t="s">
        <v>255</v>
      </c>
      <c r="D4" s="184">
        <v>3.0</v>
      </c>
      <c r="E4" s="49"/>
      <c r="F4" s="51">
        <v>0.0</v>
      </c>
      <c r="G4" s="51">
        <v>0.0</v>
      </c>
      <c r="H4" s="185">
        <v>0.0</v>
      </c>
      <c r="I4" s="52">
        <v>0.0</v>
      </c>
      <c r="J4" s="53">
        <v>2.0</v>
      </c>
      <c r="K4" s="54">
        <v>0.0</v>
      </c>
      <c r="L4" s="55">
        <f>IF(I4&lt;1.79,SUM(I4:J4), SUM('P103'!$Q4:$S4))</f>
        <v>2</v>
      </c>
      <c r="M4" s="52">
        <v>0.0</v>
      </c>
      <c r="N4" s="53">
        <v>0.0</v>
      </c>
      <c r="O4" s="54">
        <v>0.0</v>
      </c>
      <c r="P4" s="55">
        <f>SUM('P103'!$M4:$O4)</f>
        <v>0</v>
      </c>
      <c r="Q4" s="52">
        <v>0.0</v>
      </c>
      <c r="R4" s="53">
        <v>0.0</v>
      </c>
      <c r="S4" s="54">
        <v>0.0</v>
      </c>
      <c r="T4" s="55">
        <f>IF(Q4&lt;1.79,SUM(Q4:R4), SUM('P103'!$Q4:$S4))</f>
        <v>0</v>
      </c>
      <c r="U4" s="56">
        <f>('P103'!$L4+'P103'!$P4+'P103'!$T4)*'P103'!$F4</f>
        <v>0</v>
      </c>
      <c r="V4" s="57">
        <v>2.6</v>
      </c>
      <c r="W4" s="57">
        <v>5.6</v>
      </c>
      <c r="X4" s="58">
        <f>SUM('P103'!$V4:$W4)*'P103'!$G4</f>
        <v>0</v>
      </c>
      <c r="Y4" s="59">
        <v>1.5</v>
      </c>
      <c r="Z4" s="59">
        <v>0.0</v>
      </c>
      <c r="AA4" s="59">
        <v>0.0</v>
      </c>
      <c r="AB4" s="60" t="str">
        <f>IF(SUM('P103'!$Y4:$AA4)&gt;5.9,"SI","NO")</f>
        <v>NO</v>
      </c>
      <c r="AC4" s="61">
        <f>SUM('P103'!$Y4:$AA4)</f>
        <v>1.5</v>
      </c>
      <c r="AD4" s="62">
        <v>0.5</v>
      </c>
      <c r="AE4" s="62">
        <v>2.0</v>
      </c>
      <c r="AF4" s="63" t="str">
        <f>IF('P103'!$AG4&gt;5.9,"SI","NO")</f>
        <v>NO</v>
      </c>
      <c r="AG4" s="64">
        <f>SUM('P103'!$AD4:$AE4)</f>
        <v>2.5</v>
      </c>
      <c r="AH4" s="141">
        <f>IF('P103'!$AF4="NO",0," ")</f>
        <v>0</v>
      </c>
      <c r="AI4" s="141">
        <f>IF('P103'!$AF4="NO",0," ")</f>
        <v>0</v>
      </c>
      <c r="AJ4" s="66">
        <f>AVERAGE('P103'!$AH4:$AI4)*'P103'!$H4</f>
        <v>0</v>
      </c>
      <c r="AK4" s="142">
        <v>0.0</v>
      </c>
      <c r="AL4" s="143">
        <v>0.0</v>
      </c>
      <c r="AM4" s="186"/>
      <c r="AN4" s="46">
        <f>(1*('P103'!$AL4+'P103'!$AM4))*'P103'!$AK4</f>
        <v>0</v>
      </c>
      <c r="AO4" s="70">
        <f>6.5*H4</f>
        <v>0</v>
      </c>
      <c r="AP4" s="71">
        <f>SUM('P103'!$U4)</f>
        <v>0</v>
      </c>
      <c r="AQ4" s="71">
        <f>SUM(AN4,AJ4,AG4,AC4,X4,('P103'!$AO4)*H4)</f>
        <v>4</v>
      </c>
      <c r="AR4" s="187">
        <f>'P103'!$AP4+'P103'!$AQ4</f>
        <v>4</v>
      </c>
    </row>
    <row r="5" ht="14.25" customHeight="1">
      <c r="A5" s="188" t="s">
        <v>256</v>
      </c>
      <c r="B5" s="189">
        <v>2.02500203E8</v>
      </c>
      <c r="C5" s="190" t="s">
        <v>257</v>
      </c>
      <c r="D5" s="191">
        <v>8.0</v>
      </c>
      <c r="E5" s="49"/>
      <c r="F5" s="51">
        <v>1.046</v>
      </c>
      <c r="G5" s="51">
        <v>1.05</v>
      </c>
      <c r="H5" s="185">
        <v>1.033</v>
      </c>
      <c r="I5" s="52">
        <v>1.5</v>
      </c>
      <c r="J5" s="53">
        <v>2.0</v>
      </c>
      <c r="K5" s="54">
        <v>3.35</v>
      </c>
      <c r="L5" s="55">
        <f>IF(I5&lt;1.79,SUM(I5:J5), SUM('P103'!$Q5:$S5))</f>
        <v>3.5</v>
      </c>
      <c r="M5" s="52">
        <v>1.5</v>
      </c>
      <c r="N5" s="53">
        <v>2.0</v>
      </c>
      <c r="O5" s="54">
        <v>2.9</v>
      </c>
      <c r="P5" s="55">
        <f>IF(M5&lt;1.79,SUM(M5:N5), SUM('P103'!$Q5:$S5))</f>
        <v>3.5</v>
      </c>
      <c r="Q5" s="52">
        <v>1.5</v>
      </c>
      <c r="R5" s="53">
        <v>2.0</v>
      </c>
      <c r="S5" s="54">
        <v>2.9</v>
      </c>
      <c r="T5" s="55">
        <f>IF(Q5&lt;1.79,SUM(Q5:R5), SUM('P103'!$Q5:$S5))</f>
        <v>3.5</v>
      </c>
      <c r="U5" s="56">
        <f>('P103'!$L5+'P103'!$P5+'P103'!$T5)*'P103'!$F5</f>
        <v>10.983</v>
      </c>
      <c r="V5" s="57">
        <v>2.95</v>
      </c>
      <c r="W5" s="57">
        <v>6.4</v>
      </c>
      <c r="X5" s="58">
        <f>SUM('P103'!$V5:$W5)*'P103'!$G5</f>
        <v>9.8175</v>
      </c>
      <c r="Y5" s="59">
        <v>2.0</v>
      </c>
      <c r="Z5" s="59">
        <v>1.5</v>
      </c>
      <c r="AA5" s="59">
        <v>3.75</v>
      </c>
      <c r="AB5" s="60" t="str">
        <f>IF(SUM('P103'!$Y5:$AA5)&gt;5.9,"SI","NO")</f>
        <v>SI</v>
      </c>
      <c r="AC5" s="61">
        <f>SUM('P103'!$Y5:$AA5)</f>
        <v>7.25</v>
      </c>
      <c r="AD5" s="62">
        <v>0.5</v>
      </c>
      <c r="AE5" s="62">
        <v>5.5</v>
      </c>
      <c r="AF5" s="63" t="str">
        <f>IF('P103'!$AG5&gt;5.9,"SI","NO")</f>
        <v>SI</v>
      </c>
      <c r="AG5" s="64">
        <f>SUM('P103'!$AD5:$AE5)</f>
        <v>6</v>
      </c>
      <c r="AH5" s="65">
        <v>4.0</v>
      </c>
      <c r="AI5" s="65">
        <v>4.3</v>
      </c>
      <c r="AJ5" s="66">
        <f>AVERAGE('P103'!$AH5:$AI5)*'P103'!$H5</f>
        <v>4.28695</v>
      </c>
      <c r="AK5" s="142">
        <v>1.0</v>
      </c>
      <c r="AL5" s="68">
        <v>3.5</v>
      </c>
      <c r="AM5" s="69">
        <v>6.0</v>
      </c>
      <c r="AN5" s="46">
        <f>(1*('P103'!$AL5+'P103'!$AM5))*'P103'!$AK5</f>
        <v>9.5</v>
      </c>
      <c r="AO5" s="70">
        <f>7.25</f>
        <v>7.25</v>
      </c>
      <c r="AP5" s="71">
        <f>SUM('P103'!$U5)</f>
        <v>10.983</v>
      </c>
      <c r="AQ5" s="71">
        <f>SUM(AN5,AJ5,AG5,AC5,X5,('P103'!$AO5)*H5)</f>
        <v>44.3437</v>
      </c>
      <c r="AR5" s="187">
        <f>'P103'!$AP5+'P103'!$AQ5</f>
        <v>55.3267</v>
      </c>
    </row>
    <row r="6" ht="14.25" customHeight="1">
      <c r="A6" s="181" t="s">
        <v>258</v>
      </c>
      <c r="B6" s="182">
        <v>2.0231684E8</v>
      </c>
      <c r="C6" s="183" t="s">
        <v>259</v>
      </c>
      <c r="D6" s="184">
        <v>10.0</v>
      </c>
      <c r="E6" s="49"/>
      <c r="F6" s="51">
        <v>0.5</v>
      </c>
      <c r="G6" s="51">
        <v>0.0</v>
      </c>
      <c r="H6" s="185">
        <v>0.0</v>
      </c>
      <c r="I6" s="52">
        <v>2.25</v>
      </c>
      <c r="J6" s="53">
        <v>2.0</v>
      </c>
      <c r="K6" s="54">
        <v>0.0</v>
      </c>
      <c r="L6" s="55">
        <f>IF(I6&lt;1.79,SUM(I6:J6), SUM('P103'!$Q6:$S6))</f>
        <v>0</v>
      </c>
      <c r="M6" s="52">
        <v>0.0</v>
      </c>
      <c r="N6" s="53">
        <v>0.0</v>
      </c>
      <c r="O6" s="54">
        <v>0.0</v>
      </c>
      <c r="P6" s="55">
        <f>IF(M6&lt;1.79,SUM(M6:N6), SUM('P103'!$Q6:$S6))</f>
        <v>0</v>
      </c>
      <c r="Q6" s="52">
        <v>0.0</v>
      </c>
      <c r="R6" s="53">
        <v>0.0</v>
      </c>
      <c r="S6" s="54">
        <v>0.0</v>
      </c>
      <c r="T6" s="55">
        <f>IF(Q6&lt;1.79,SUM(Q6:R6), SUM('P103'!$Q6:$S6))</f>
        <v>0</v>
      </c>
      <c r="U6" s="56">
        <f>('P103'!$L6+'P103'!$P6+'P103'!$T6)*'P103'!$F6</f>
        <v>0</v>
      </c>
      <c r="V6" s="57">
        <v>0.75</v>
      </c>
      <c r="W6" s="57">
        <v>0.0</v>
      </c>
      <c r="X6" s="58">
        <f>SUM('P103'!$V6:$W6)*'P103'!$G6</f>
        <v>0</v>
      </c>
      <c r="Y6" s="59">
        <v>1.0</v>
      </c>
      <c r="Z6" s="59">
        <v>0.0</v>
      </c>
      <c r="AA6" s="59">
        <v>0.0</v>
      </c>
      <c r="AB6" s="60" t="str">
        <f>IF(SUM('P103'!$Y6:$AA6)&gt;5.9,"SI","NO")</f>
        <v>NO</v>
      </c>
      <c r="AC6" s="61">
        <f>SUM('P103'!$Y6:$AA6)</f>
        <v>1</v>
      </c>
      <c r="AD6" s="62">
        <v>0.5</v>
      </c>
      <c r="AE6" s="62">
        <v>2.0</v>
      </c>
      <c r="AF6" s="63" t="str">
        <f>IF('P103'!$AG6&gt;5.9,"SI","NO")</f>
        <v>NO</v>
      </c>
      <c r="AG6" s="64">
        <f>SUM('P103'!$AD6:$AE6)</f>
        <v>2.5</v>
      </c>
      <c r="AH6" s="141">
        <f>IF('P103'!$AF6="NO",0," ")</f>
        <v>0</v>
      </c>
      <c r="AI6" s="141">
        <f>IF('P103'!$AF6="NO",0," ")</f>
        <v>0</v>
      </c>
      <c r="AJ6" s="66">
        <f>AVERAGE('P103'!$AH6:$AI6)*'P103'!$H6</f>
        <v>0</v>
      </c>
      <c r="AK6" s="142">
        <v>0.0</v>
      </c>
      <c r="AL6" s="143">
        <v>0.0</v>
      </c>
      <c r="AM6" s="144">
        <v>0.0</v>
      </c>
      <c r="AN6" s="46">
        <f>(1*('P103'!$AL6+'P103'!$AM6))*'P103'!$AK6</f>
        <v>0</v>
      </c>
      <c r="AO6" s="70">
        <v>0.0</v>
      </c>
      <c r="AP6" s="71">
        <f>SUM('P103'!$U6)</f>
        <v>0</v>
      </c>
      <c r="AQ6" s="71">
        <f>SUM(AN6,AJ6,AG6,AC6,X6,('P103'!$AO6)*H6)</f>
        <v>3.5</v>
      </c>
      <c r="AR6" s="187">
        <f>'P103'!$AP6+'P103'!$AQ6</f>
        <v>3.5</v>
      </c>
    </row>
    <row r="7" ht="14.25" customHeight="1">
      <c r="A7" s="188" t="s">
        <v>260</v>
      </c>
      <c r="B7" s="189">
        <v>2.02414744E8</v>
      </c>
      <c r="C7" s="190" t="s">
        <v>261</v>
      </c>
      <c r="D7" s="191">
        <v>10.0</v>
      </c>
      <c r="E7" s="49"/>
      <c r="F7" s="51">
        <v>1.935</v>
      </c>
      <c r="G7" s="51">
        <v>1.947</v>
      </c>
      <c r="H7" s="185">
        <v>1.0</v>
      </c>
      <c r="I7" s="52">
        <v>1.5</v>
      </c>
      <c r="J7" s="53">
        <v>2.0</v>
      </c>
      <c r="K7" s="54">
        <v>3.75</v>
      </c>
      <c r="L7" s="55">
        <f>IF(I7&lt;1.79,SUM(I7:J7), SUM('P103'!$Q7:$S7))</f>
        <v>3.5</v>
      </c>
      <c r="M7" s="52">
        <v>1.5</v>
      </c>
      <c r="N7" s="53">
        <v>2.0</v>
      </c>
      <c r="O7" s="54">
        <v>0.0</v>
      </c>
      <c r="P7" s="55">
        <f>IF(M7&lt;1.79,SUM(M7:N7), SUM('P103'!$Q7:$S7))</f>
        <v>3.5</v>
      </c>
      <c r="Q7" s="52">
        <v>1.5</v>
      </c>
      <c r="R7" s="53">
        <v>2.0</v>
      </c>
      <c r="S7" s="54">
        <v>0.0</v>
      </c>
      <c r="T7" s="55">
        <f>IF(Q7&lt;1.79,SUM(Q7:R7), SUM('P103'!$Q7:$S7))</f>
        <v>3.5</v>
      </c>
      <c r="U7" s="56">
        <f>('P103'!$L7+'P103'!$P7+'P103'!$T7)*'P103'!$F7</f>
        <v>20.3175</v>
      </c>
      <c r="V7" s="57">
        <v>0.75</v>
      </c>
      <c r="W7" s="57">
        <v>0.0</v>
      </c>
      <c r="X7" s="58">
        <f>SUM('P103'!$V7:$W7)*'P103'!$G7</f>
        <v>1.46025</v>
      </c>
      <c r="Y7" s="59">
        <v>1.0</v>
      </c>
      <c r="Z7" s="59">
        <v>3.0</v>
      </c>
      <c r="AA7" s="59">
        <v>0.0</v>
      </c>
      <c r="AB7" s="60" t="str">
        <f>IF(SUM('P103'!$Y7:$AA7)&gt;5.9,"SI","NO")</f>
        <v>NO</v>
      </c>
      <c r="AC7" s="61">
        <f>SUM('P103'!$Y7:$AA7)</f>
        <v>4</v>
      </c>
      <c r="AD7" s="62">
        <v>0.5</v>
      </c>
      <c r="AE7" s="62">
        <v>2.0</v>
      </c>
      <c r="AF7" s="63" t="str">
        <f>IF('P103'!$AG7&gt;5.9,"SI","NO")</f>
        <v>NO</v>
      </c>
      <c r="AG7" s="64">
        <f>SUM('P103'!$AD7:$AE7)</f>
        <v>2.5</v>
      </c>
      <c r="AH7" s="141">
        <f>IF('P103'!$AF7="NO",0," ")</f>
        <v>0</v>
      </c>
      <c r="AI7" s="141">
        <f>IF('P103'!$AF7="NO",0," ")</f>
        <v>0</v>
      </c>
      <c r="AJ7" s="66">
        <f>AVERAGE('P103'!$AH7:$AI7)*'P103'!$H7</f>
        <v>0</v>
      </c>
      <c r="AK7" s="142">
        <v>0.0</v>
      </c>
      <c r="AL7" s="143">
        <v>0.0</v>
      </c>
      <c r="AM7" s="144">
        <v>0.0</v>
      </c>
      <c r="AN7" s="46">
        <f>(1*('P103'!$AL7+'P103'!$AM7))*'P103'!$AK7</f>
        <v>0</v>
      </c>
      <c r="AO7" s="70">
        <v>5.0</v>
      </c>
      <c r="AP7" s="71">
        <f>SUM('P103'!$U7)</f>
        <v>20.3175</v>
      </c>
      <c r="AQ7" s="71">
        <f>SUM(AN7,AJ7,AG7,AC7,X7,('P103'!$AO7)*H7)</f>
        <v>12.96025</v>
      </c>
      <c r="AR7" s="187">
        <f>'P103'!$AP7+'P103'!$AQ7</f>
        <v>33.27775</v>
      </c>
    </row>
    <row r="8" ht="14.25" customHeight="1">
      <c r="A8" s="181" t="s">
        <v>262</v>
      </c>
      <c r="B8" s="182">
        <v>2.02215679E8</v>
      </c>
      <c r="C8" s="183" t="s">
        <v>263</v>
      </c>
      <c r="D8" s="184">
        <v>1.0</v>
      </c>
      <c r="E8" s="49"/>
      <c r="F8" s="51">
        <v>1.136</v>
      </c>
      <c r="G8" s="51">
        <v>1.102</v>
      </c>
      <c r="H8" s="185">
        <v>1.115</v>
      </c>
      <c r="I8" s="52">
        <v>2.25</v>
      </c>
      <c r="J8" s="53">
        <v>2.0</v>
      </c>
      <c r="K8" s="54">
        <v>4.0</v>
      </c>
      <c r="L8" s="55">
        <f>IF(I8&lt;1.79,SUM(I8:J8), SUM('P103'!$Q8:$S8))</f>
        <v>7.2</v>
      </c>
      <c r="M8" s="52">
        <v>0.75</v>
      </c>
      <c r="N8" s="53">
        <v>2.0</v>
      </c>
      <c r="O8" s="54">
        <v>4.45</v>
      </c>
      <c r="P8" s="55">
        <f>IF(M8&lt;1.79,SUM(M8:N8), SUM('P103'!$Q8:$S8))</f>
        <v>2.75</v>
      </c>
      <c r="Q8" s="52">
        <v>0.75</v>
      </c>
      <c r="R8" s="53">
        <v>2.0</v>
      </c>
      <c r="S8" s="54">
        <v>4.45</v>
      </c>
      <c r="T8" s="55">
        <f>IF(Q8&lt;1.79,SUM(Q8:R8), SUM('P103'!$Q8:$S8))</f>
        <v>2.75</v>
      </c>
      <c r="U8" s="56">
        <f>('P103'!$L8+'P103'!$P8+'P103'!$T8)*'P103'!$F8</f>
        <v>14.4272</v>
      </c>
      <c r="V8" s="57">
        <v>2.9</v>
      </c>
      <c r="W8" s="57">
        <v>7.1</v>
      </c>
      <c r="X8" s="58">
        <f>SUM('P103'!$V8:$W8)*'P103'!$G8</f>
        <v>11.02</v>
      </c>
      <c r="Y8" s="59">
        <v>0.5</v>
      </c>
      <c r="Z8" s="59">
        <v>0.0</v>
      </c>
      <c r="AA8" s="59">
        <v>0.0</v>
      </c>
      <c r="AB8" s="60" t="str">
        <f>IF(SUM('P103'!$Y8:$AA8)&gt;5.9,"SI","NO")</f>
        <v>NO</v>
      </c>
      <c r="AC8" s="61">
        <f>SUM('P103'!$Y8:$AA8)</f>
        <v>0.5</v>
      </c>
      <c r="AD8" s="62">
        <v>0.5</v>
      </c>
      <c r="AE8" s="62">
        <v>4.0</v>
      </c>
      <c r="AF8" s="63" t="str">
        <f>IF('P103'!$AG8&gt;5.9,"SI","NO")</f>
        <v>NO</v>
      </c>
      <c r="AG8" s="64">
        <f>SUM('P103'!$AD8:$AE8)</f>
        <v>4.5</v>
      </c>
      <c r="AH8" s="141">
        <f>IF('P103'!$AF8="NO",0," ")</f>
        <v>0</v>
      </c>
      <c r="AI8" s="141">
        <f>IF('P103'!$AF8="NO",0," ")</f>
        <v>0</v>
      </c>
      <c r="AJ8" s="66">
        <f>AVERAGE('P103'!$AH8:$AI8)*'P103'!$H8</f>
        <v>0</v>
      </c>
      <c r="AK8" s="142">
        <v>0.0</v>
      </c>
      <c r="AL8" s="143">
        <v>0.0</v>
      </c>
      <c r="AM8" s="143">
        <v>0.0</v>
      </c>
      <c r="AN8" s="46">
        <f>(1*('P103'!$AL8+'P103'!$AM8))*'P103'!$AK8</f>
        <v>0</v>
      </c>
      <c r="AO8" s="192">
        <v>6.5</v>
      </c>
      <c r="AP8" s="71">
        <f>SUM('P103'!$U8)</f>
        <v>14.4272</v>
      </c>
      <c r="AQ8" s="71">
        <f>SUM(AN8,AJ8,AG8,AC8,X8,('P103'!$AO8)*H8)</f>
        <v>23.2675</v>
      </c>
      <c r="AR8" s="187">
        <f>'P103'!$AP8+'P103'!$AQ8</f>
        <v>37.6947</v>
      </c>
    </row>
    <row r="9" ht="14.25" customHeight="1">
      <c r="A9" s="188" t="s">
        <v>264</v>
      </c>
      <c r="B9" s="189">
        <v>2.02509303E8</v>
      </c>
      <c r="C9" s="190" t="s">
        <v>265</v>
      </c>
      <c r="D9" s="191">
        <v>5.0</v>
      </c>
      <c r="E9" s="49"/>
      <c r="F9" s="51">
        <v>1.399</v>
      </c>
      <c r="G9" s="51">
        <v>1.414</v>
      </c>
      <c r="H9" s="185">
        <v>1.333</v>
      </c>
      <c r="I9" s="52">
        <v>2.25</v>
      </c>
      <c r="J9" s="53">
        <v>2.0</v>
      </c>
      <c r="K9" s="54">
        <v>3.0</v>
      </c>
      <c r="L9" s="55">
        <f>IF(I9&lt;1.79,SUM(I9:J9), SUM('P103'!$Q9:$S9))</f>
        <v>3.88</v>
      </c>
      <c r="M9" s="52">
        <v>1.88</v>
      </c>
      <c r="N9" s="53">
        <v>2.0</v>
      </c>
      <c r="O9" s="54">
        <v>0.0</v>
      </c>
      <c r="P9" s="55">
        <f>IF(M9&lt;1.79,SUM(M9:N9), SUM('P103'!$Q9:$S9))</f>
        <v>3.88</v>
      </c>
      <c r="Q9" s="52">
        <v>1.88</v>
      </c>
      <c r="R9" s="53">
        <v>2.0</v>
      </c>
      <c r="S9" s="54">
        <v>0.0</v>
      </c>
      <c r="T9" s="55">
        <f>IF(Q9&lt;1.79,SUM(Q9:R9), SUM('P103'!$Q9:$S9))</f>
        <v>3.88</v>
      </c>
      <c r="U9" s="56">
        <f>('P103'!$L9+'P103'!$P9+'P103'!$T9)*'P103'!$F9</f>
        <v>16.28436</v>
      </c>
      <c r="V9" s="57">
        <v>3.8</v>
      </c>
      <c r="W9" s="57">
        <v>8.1</v>
      </c>
      <c r="X9" s="58">
        <f>SUM('P103'!$V9:$W9)*'P103'!$G9</f>
        <v>16.8266</v>
      </c>
      <c r="Y9" s="59">
        <v>1.5</v>
      </c>
      <c r="Z9" s="59">
        <v>1.5</v>
      </c>
      <c r="AA9" s="59">
        <v>0.0</v>
      </c>
      <c r="AB9" s="60" t="str">
        <f>IF(SUM('P103'!$Y9:$AA9)&gt;5.9,"SI","NO")</f>
        <v>NO</v>
      </c>
      <c r="AC9" s="61">
        <f>SUM('P103'!$Y9:$AA9)</f>
        <v>3</v>
      </c>
      <c r="AD9" s="62">
        <v>0.5</v>
      </c>
      <c r="AE9" s="62">
        <v>4.5</v>
      </c>
      <c r="AF9" s="63" t="str">
        <f>IF('P103'!$AG9&gt;5.9,"SI","NO")</f>
        <v>NO</v>
      </c>
      <c r="AG9" s="64">
        <f>SUM('P103'!$AD9:$AE9)</f>
        <v>5</v>
      </c>
      <c r="AH9" s="141">
        <f>IF('P103'!$AF9="NO",0," ")</f>
        <v>0</v>
      </c>
      <c r="AI9" s="141">
        <f>IF('P103'!$AF9="NO",0," ")</f>
        <v>0</v>
      </c>
      <c r="AJ9" s="66">
        <f>AVERAGE('P103'!$AH9:$AI9)*'P103'!$H9</f>
        <v>0</v>
      </c>
      <c r="AK9" s="142">
        <v>0.0</v>
      </c>
      <c r="AL9" s="143">
        <v>0.0</v>
      </c>
      <c r="AM9" s="143">
        <v>0.0</v>
      </c>
      <c r="AN9" s="46">
        <f>(1*('P103'!$AL9+'P103'!$AM9))*'P103'!$AK9</f>
        <v>0</v>
      </c>
      <c r="AO9" s="192">
        <v>6.5</v>
      </c>
      <c r="AP9" s="71">
        <f>SUM('P103'!$U9)</f>
        <v>16.28436</v>
      </c>
      <c r="AQ9" s="71">
        <f>SUM(AN9,AJ9,AG9,AC9,X9,('P103'!$AO9)*H9)</f>
        <v>33.4911</v>
      </c>
      <c r="AR9" s="187">
        <f>'P103'!$AP9+'P103'!$AQ9</f>
        <v>49.77546</v>
      </c>
    </row>
    <row r="10" ht="14.25" customHeight="1">
      <c r="A10" s="181" t="s">
        <v>266</v>
      </c>
      <c r="B10" s="182">
        <v>2.02404968E8</v>
      </c>
      <c r="C10" s="183" t="s">
        <v>267</v>
      </c>
      <c r="D10" s="184">
        <v>5.0</v>
      </c>
      <c r="E10" s="49"/>
      <c r="F10" s="51">
        <v>1.459</v>
      </c>
      <c r="G10" s="51">
        <v>1.451</v>
      </c>
      <c r="H10" s="185">
        <v>1.491</v>
      </c>
      <c r="I10" s="52">
        <v>2.25</v>
      </c>
      <c r="J10" s="53">
        <v>2.0</v>
      </c>
      <c r="K10" s="54">
        <v>3.0</v>
      </c>
      <c r="L10" s="55">
        <f>IF(I10&lt;1.79,SUM(I10:J10), SUM('P103'!$Q10:$S10))</f>
        <v>7.45</v>
      </c>
      <c r="M10" s="52">
        <v>2.25</v>
      </c>
      <c r="N10" s="53">
        <v>2.0</v>
      </c>
      <c r="O10" s="54">
        <v>3.2</v>
      </c>
      <c r="P10" s="55">
        <f>IF(M10&lt;1.79,SUM(M10:N10), SUM('P103'!$Q10:$S10))</f>
        <v>7.45</v>
      </c>
      <c r="Q10" s="52">
        <v>2.25</v>
      </c>
      <c r="R10" s="53">
        <v>2.0</v>
      </c>
      <c r="S10" s="54">
        <v>3.2</v>
      </c>
      <c r="T10" s="55">
        <f>IF(Q10&lt;1.79,SUM(Q10:R10), SUM('P103'!$Q10:$S10))</f>
        <v>7.45</v>
      </c>
      <c r="U10" s="56">
        <f>('P103'!$L10+'P103'!$P10+'P103'!$T10)*'P103'!$F10</f>
        <v>32.60865</v>
      </c>
      <c r="V10" s="57">
        <v>3.8</v>
      </c>
      <c r="W10" s="57">
        <v>8.1</v>
      </c>
      <c r="X10" s="58">
        <f>SUM('P103'!$V10:$W10)*'P103'!$G10</f>
        <v>17.2669</v>
      </c>
      <c r="Y10" s="59">
        <v>2.0</v>
      </c>
      <c r="Z10" s="59">
        <v>3.0</v>
      </c>
      <c r="AA10" s="59">
        <v>3.75</v>
      </c>
      <c r="AB10" s="60" t="str">
        <f>IF(SUM('P103'!$Y10:$AA10)&gt;5.9,"SI","NO")</f>
        <v>SI</v>
      </c>
      <c r="AC10" s="61">
        <f>SUM('P103'!$Y10:$AA10)</f>
        <v>8.75</v>
      </c>
      <c r="AD10" s="62">
        <v>0.5</v>
      </c>
      <c r="AE10" s="62">
        <v>4.5</v>
      </c>
      <c r="AF10" s="63" t="str">
        <f>IF('P103'!$AG10&gt;5.9,"SI","NO")</f>
        <v>NO</v>
      </c>
      <c r="AG10" s="64">
        <f>SUM('P103'!$AD10:$AE10)</f>
        <v>5</v>
      </c>
      <c r="AH10" s="141">
        <f>IF('P103'!$AF10="NO",0," ")</f>
        <v>0</v>
      </c>
      <c r="AI10" s="141">
        <f>IF('P103'!$AF10="NO",0," ")</f>
        <v>0</v>
      </c>
      <c r="AJ10" s="66">
        <f>AVERAGE('P103'!$AH10:$AI10)*'P103'!$H10</f>
        <v>0</v>
      </c>
      <c r="AK10" s="142">
        <v>0.0</v>
      </c>
      <c r="AL10" s="143">
        <v>0.0</v>
      </c>
      <c r="AM10" s="143">
        <v>0.0</v>
      </c>
      <c r="AN10" s="46">
        <f>(1*('P103'!$AL10+'P103'!$AM10))*'P103'!$AK10</f>
        <v>0</v>
      </c>
      <c r="AO10" s="192">
        <v>6.5</v>
      </c>
      <c r="AP10" s="71">
        <f>SUM('P103'!$U10)</f>
        <v>32.60865</v>
      </c>
      <c r="AQ10" s="71">
        <f>SUM(AN10,AJ10,AG10,AC10,X10,('P103'!$AO10)*H10)</f>
        <v>40.7084</v>
      </c>
      <c r="AR10" s="187">
        <f>'P103'!$AP10+'P103'!$AQ10</f>
        <v>73.31705</v>
      </c>
    </row>
    <row r="11" ht="14.25" customHeight="1">
      <c r="A11" s="188" t="s">
        <v>268</v>
      </c>
      <c r="B11" s="189">
        <v>2.02510459E8</v>
      </c>
      <c r="C11" s="190" t="s">
        <v>269</v>
      </c>
      <c r="D11" s="191">
        <v>3.0</v>
      </c>
      <c r="E11" s="49"/>
      <c r="F11" s="51">
        <v>0.0</v>
      </c>
      <c r="G11" s="51">
        <v>0.0</v>
      </c>
      <c r="H11" s="185">
        <v>0.0</v>
      </c>
      <c r="I11" s="52">
        <v>3.0</v>
      </c>
      <c r="J11" s="53">
        <v>2.0</v>
      </c>
      <c r="K11" s="54">
        <v>0.0</v>
      </c>
      <c r="L11" s="55">
        <f>IF(I11&lt;1.79,SUM(I11:J11), SUM('P103'!$Q11:$S11))</f>
        <v>0</v>
      </c>
      <c r="M11" s="52">
        <v>0.0</v>
      </c>
      <c r="N11" s="53">
        <v>0.0</v>
      </c>
      <c r="O11" s="54">
        <v>0.0</v>
      </c>
      <c r="P11" s="55">
        <f>IF(M11&lt;1.79,SUM(M11:N11), SUM('P103'!$Q11:$S11))</f>
        <v>0</v>
      </c>
      <c r="Q11" s="52">
        <v>0.0</v>
      </c>
      <c r="R11" s="53">
        <v>0.0</v>
      </c>
      <c r="S11" s="54">
        <v>0.0</v>
      </c>
      <c r="T11" s="55">
        <f>IF(Q11&lt;1.79,SUM(Q11:R11), SUM('P103'!$Q11:$S11))</f>
        <v>0</v>
      </c>
      <c r="U11" s="56">
        <f>('P103'!$L11+'P103'!$P11+'P103'!$T11)*'P103'!$F11</f>
        <v>0</v>
      </c>
      <c r="V11" s="57">
        <v>2.6</v>
      </c>
      <c r="W11" s="57">
        <v>5.6</v>
      </c>
      <c r="X11" s="58">
        <f>SUM('P103'!$V11:$W11)*'P103'!$G11</f>
        <v>0</v>
      </c>
      <c r="Y11" s="59">
        <v>1.0</v>
      </c>
      <c r="Z11" s="59">
        <v>0.0</v>
      </c>
      <c r="AA11" s="59">
        <v>0.0</v>
      </c>
      <c r="AB11" s="60" t="str">
        <f>IF(SUM('P103'!$Y11:$AA11)&gt;5.9,"SI","NO")</f>
        <v>NO</v>
      </c>
      <c r="AC11" s="61">
        <f>SUM('P103'!$Y11:$AA11)</f>
        <v>1</v>
      </c>
      <c r="AD11" s="62">
        <v>0.5</v>
      </c>
      <c r="AE11" s="62">
        <v>2.0</v>
      </c>
      <c r="AF11" s="63" t="str">
        <f>IF('P103'!$AG11&gt;5.9,"SI","NO")</f>
        <v>NO</v>
      </c>
      <c r="AG11" s="64">
        <f>SUM('P103'!$AD11:$AE11)</f>
        <v>2.5</v>
      </c>
      <c r="AH11" s="141">
        <f>IF('P103'!$AF11="NO",0," ")</f>
        <v>0</v>
      </c>
      <c r="AI11" s="141">
        <f>IF('P103'!$AF11="NO",0," ")</f>
        <v>0</v>
      </c>
      <c r="AJ11" s="66">
        <f>AVERAGE('P103'!$AH11:$AI11)*'P103'!$H11</f>
        <v>0</v>
      </c>
      <c r="AK11" s="142">
        <v>0.0</v>
      </c>
      <c r="AL11" s="143">
        <v>0.0</v>
      </c>
      <c r="AM11" s="143">
        <v>0.0</v>
      </c>
      <c r="AN11" s="46">
        <f>(1*('P103'!$AL11+'P103'!$AM11))*'P103'!$AK11</f>
        <v>0</v>
      </c>
      <c r="AO11" s="70">
        <v>0.0</v>
      </c>
      <c r="AP11" s="71">
        <f>SUM('P103'!$U11)</f>
        <v>0</v>
      </c>
      <c r="AQ11" s="71">
        <f>SUM(AN11,AJ11,AG11,AC11,X11,('P103'!$AO11)*H11)</f>
        <v>3.5</v>
      </c>
      <c r="AR11" s="187">
        <f>'P103'!$AP11+'P103'!$AQ11</f>
        <v>3.5</v>
      </c>
    </row>
    <row r="12" ht="14.25" customHeight="1">
      <c r="A12" s="181" t="s">
        <v>270</v>
      </c>
      <c r="B12" s="182">
        <v>2.02502175E8</v>
      </c>
      <c r="C12" s="183" t="s">
        <v>271</v>
      </c>
      <c r="D12" s="184">
        <v>1.0</v>
      </c>
      <c r="E12" s="49"/>
      <c r="F12" s="51">
        <v>1.144</v>
      </c>
      <c r="G12" s="51">
        <v>0.5</v>
      </c>
      <c r="H12" s="185">
        <v>1.126</v>
      </c>
      <c r="I12" s="52">
        <v>1.5</v>
      </c>
      <c r="J12" s="53">
        <v>2.0</v>
      </c>
      <c r="K12" s="54">
        <v>4.0</v>
      </c>
      <c r="L12" s="55">
        <f>IF(I12&lt;1.79,SUM(I12:J12), SUM('P103'!$Q12:$S12))</f>
        <v>3.5</v>
      </c>
      <c r="M12" s="52">
        <v>1.5</v>
      </c>
      <c r="N12" s="53">
        <v>2.0</v>
      </c>
      <c r="O12" s="54">
        <v>0.0</v>
      </c>
      <c r="P12" s="55">
        <f>IF(M12&lt;1.79,SUM(M12:N12), SUM('P103'!$Q12:$S12))</f>
        <v>3.5</v>
      </c>
      <c r="Q12" s="52">
        <v>1.5</v>
      </c>
      <c r="R12" s="53">
        <v>2.0</v>
      </c>
      <c r="S12" s="54">
        <v>0.0</v>
      </c>
      <c r="T12" s="55">
        <f>IF(Q12&lt;1.79,SUM(Q12:R12), SUM('P103'!$Q12:$S12))</f>
        <v>3.5</v>
      </c>
      <c r="U12" s="56">
        <f>('P103'!$L12+'P103'!$P12+'P103'!$T12)*'P103'!$F12</f>
        <v>12.012</v>
      </c>
      <c r="V12" s="57">
        <v>2.9</v>
      </c>
      <c r="W12" s="57">
        <v>7.1</v>
      </c>
      <c r="X12" s="58">
        <f>SUM('P103'!$V12:$W12)*'P103'!$G12</f>
        <v>5</v>
      </c>
      <c r="Y12" s="59">
        <v>1.0</v>
      </c>
      <c r="Z12" s="59">
        <v>1.5</v>
      </c>
      <c r="AA12" s="59">
        <v>0.0</v>
      </c>
      <c r="AB12" s="60" t="str">
        <f>IF(SUM('P103'!$Y12:$AA12)&gt;5.9,"SI","NO")</f>
        <v>NO</v>
      </c>
      <c r="AC12" s="61">
        <f>SUM('P103'!$Y12:$AA12)</f>
        <v>2.5</v>
      </c>
      <c r="AD12" s="62">
        <v>0.5</v>
      </c>
      <c r="AE12" s="62">
        <v>4.0</v>
      </c>
      <c r="AF12" s="63" t="str">
        <f>IF('P103'!$AG12&gt;5.9,"SI","NO")</f>
        <v>NO</v>
      </c>
      <c r="AG12" s="64">
        <f>SUM('P103'!$AD12:$AE12)</f>
        <v>4.5</v>
      </c>
      <c r="AH12" s="141">
        <f>IF('P103'!$AF12="NO",0," ")</f>
        <v>0</v>
      </c>
      <c r="AI12" s="141">
        <f>IF('P103'!$AF12="NO",0," ")</f>
        <v>0</v>
      </c>
      <c r="AJ12" s="66">
        <f>AVERAGE('P103'!$AH12:$AI12)*'P103'!$H12</f>
        <v>0</v>
      </c>
      <c r="AK12" s="142">
        <v>0.0</v>
      </c>
      <c r="AL12" s="143">
        <v>0.0</v>
      </c>
      <c r="AM12" s="143">
        <v>0.0</v>
      </c>
      <c r="AN12" s="46">
        <f>(1*('P103'!$AL12+'P103'!$AM12))*'P103'!$AK12</f>
        <v>0</v>
      </c>
      <c r="AO12" s="192">
        <v>6.5</v>
      </c>
      <c r="AP12" s="71">
        <f>SUM('P103'!$U12)</f>
        <v>12.012</v>
      </c>
      <c r="AQ12" s="71">
        <f>SUM(AN12,AJ12,AG12,AC12,X12,('P103'!$AO12)*H12)</f>
        <v>19.319</v>
      </c>
      <c r="AR12" s="187">
        <f>'P103'!$AP12+'P103'!$AQ12</f>
        <v>31.331</v>
      </c>
    </row>
    <row r="13" ht="14.25" customHeight="1">
      <c r="A13" s="188" t="s">
        <v>272</v>
      </c>
      <c r="B13" s="189">
        <v>2.02411252E8</v>
      </c>
      <c r="C13" s="190" t="s">
        <v>273</v>
      </c>
      <c r="D13" s="191">
        <v>9.0</v>
      </c>
      <c r="E13" s="49"/>
      <c r="F13" s="51">
        <v>1.064</v>
      </c>
      <c r="G13" s="51">
        <v>1.104</v>
      </c>
      <c r="H13" s="185">
        <v>1.112</v>
      </c>
      <c r="I13" s="52">
        <v>3.0</v>
      </c>
      <c r="J13" s="53">
        <v>2.0</v>
      </c>
      <c r="K13" s="54">
        <v>3.95</v>
      </c>
      <c r="L13" s="55">
        <f>IF(I13&lt;1.79,SUM(I13:J13), SUM('P103'!$Q13:$S13))</f>
        <v>7.85</v>
      </c>
      <c r="M13" s="52">
        <v>2.25</v>
      </c>
      <c r="N13" s="53">
        <v>2.0</v>
      </c>
      <c r="O13" s="54">
        <v>3.6</v>
      </c>
      <c r="P13" s="55">
        <f>IF(M13&lt;1.79,SUM(M13:N13), SUM('P103'!$Q13:$S13))</f>
        <v>7.85</v>
      </c>
      <c r="Q13" s="52">
        <v>2.25</v>
      </c>
      <c r="R13" s="53">
        <v>2.0</v>
      </c>
      <c r="S13" s="54">
        <v>3.6</v>
      </c>
      <c r="T13" s="55">
        <f>IF(Q13&lt;1.79,SUM(Q13:R13), SUM('P103'!$Q13:$S13))</f>
        <v>7.85</v>
      </c>
      <c r="U13" s="56">
        <f>('P103'!$L13+'P103'!$P13+'P103'!$T13)*'P103'!$F13</f>
        <v>25.0572</v>
      </c>
      <c r="V13" s="57">
        <v>4.7</v>
      </c>
      <c r="W13" s="57">
        <v>6.5</v>
      </c>
      <c r="X13" s="58">
        <f>SUM('P103'!$V13:$W13)*'P103'!$G13</f>
        <v>12.3648</v>
      </c>
      <c r="Y13" s="59">
        <v>1.5</v>
      </c>
      <c r="Z13" s="59">
        <v>3.0</v>
      </c>
      <c r="AA13" s="59">
        <v>0.0</v>
      </c>
      <c r="AB13" s="60" t="str">
        <f>IF(SUM('P103'!$Y13:$AA13)&gt;5.9,"SI","NO")</f>
        <v>NO</v>
      </c>
      <c r="AC13" s="61">
        <f>SUM('P103'!$Y13:$AA13)</f>
        <v>4.5</v>
      </c>
      <c r="AD13" s="62">
        <v>0.0</v>
      </c>
      <c r="AE13" s="62">
        <v>2.0</v>
      </c>
      <c r="AF13" s="63" t="str">
        <f>IF('P103'!$AG13&gt;5.9,"SI","NO")</f>
        <v>NO</v>
      </c>
      <c r="AG13" s="64">
        <f>SUM('P103'!$AD13:$AE13)</f>
        <v>2</v>
      </c>
      <c r="AH13" s="141">
        <f>IF('P103'!$AF13="NO",0," ")</f>
        <v>0</v>
      </c>
      <c r="AI13" s="141">
        <f>IF('P103'!$AF13="NO",0," ")</f>
        <v>0</v>
      </c>
      <c r="AJ13" s="66">
        <f>AVERAGE('P103'!$AH13:$AI13)*'P103'!$H13</f>
        <v>0</v>
      </c>
      <c r="AK13" s="142">
        <v>0.0</v>
      </c>
      <c r="AL13" s="143">
        <v>0.0</v>
      </c>
      <c r="AM13" s="143">
        <v>0.0</v>
      </c>
      <c r="AN13" s="46">
        <f>(1*('P103'!$AL13+'P103'!$AM13))*'P103'!$AK13</f>
        <v>0</v>
      </c>
      <c r="AO13" s="192">
        <v>6.75</v>
      </c>
      <c r="AP13" s="71">
        <f>SUM('P103'!$U13)</f>
        <v>25.0572</v>
      </c>
      <c r="AQ13" s="71">
        <f>SUM(AN13,AJ13,AG13,AC13,X13,('P103'!$AO13)*H13)</f>
        <v>26.3708</v>
      </c>
      <c r="AR13" s="187">
        <f>'P103'!$AP13+'P103'!$AQ13</f>
        <v>51.428</v>
      </c>
    </row>
    <row r="14" ht="14.25" customHeight="1">
      <c r="A14" s="181" t="s">
        <v>274</v>
      </c>
      <c r="B14" s="182">
        <v>2.02508867E8</v>
      </c>
      <c r="C14" s="183" t="s">
        <v>275</v>
      </c>
      <c r="D14" s="184">
        <v>10.0</v>
      </c>
      <c r="E14" s="49"/>
      <c r="F14" s="51">
        <v>0.5</v>
      </c>
      <c r="G14" s="51">
        <v>0.0</v>
      </c>
      <c r="H14" s="185">
        <v>0.0</v>
      </c>
      <c r="I14" s="52">
        <v>2.25</v>
      </c>
      <c r="J14" s="53">
        <v>2.0</v>
      </c>
      <c r="K14" s="54">
        <v>0.0</v>
      </c>
      <c r="L14" s="55">
        <f>IF(I14&lt;1.79,SUM(I14:J14), SUM('P103'!$Q14:$S14))</f>
        <v>0</v>
      </c>
      <c r="M14" s="52">
        <v>0.0</v>
      </c>
      <c r="N14" s="53">
        <v>0.0</v>
      </c>
      <c r="O14" s="54">
        <v>0.0</v>
      </c>
      <c r="P14" s="55">
        <f>IF(M14&lt;1.79,SUM(M14:N14), SUM('P103'!$Q14:$S14))</f>
        <v>0</v>
      </c>
      <c r="Q14" s="52">
        <v>0.0</v>
      </c>
      <c r="R14" s="53">
        <v>0.0</v>
      </c>
      <c r="S14" s="54">
        <v>0.0</v>
      </c>
      <c r="T14" s="55">
        <f>IF(Q14&lt;1.79,SUM(Q14:R14), SUM('P103'!$Q14:$S14))</f>
        <v>0</v>
      </c>
      <c r="U14" s="56">
        <f>('P103'!$L14+'P103'!$P14+'P103'!$T14)*'P103'!$F14</f>
        <v>0</v>
      </c>
      <c r="V14" s="57">
        <v>0.75</v>
      </c>
      <c r="W14" s="57">
        <v>0.0</v>
      </c>
      <c r="X14" s="58">
        <f>SUM('P103'!$V14:$W14)*'P103'!$G14</f>
        <v>0</v>
      </c>
      <c r="Y14" s="59">
        <v>0.0</v>
      </c>
      <c r="Z14" s="59">
        <v>0.0</v>
      </c>
      <c r="AA14" s="59">
        <v>0.0</v>
      </c>
      <c r="AB14" s="60" t="str">
        <f>IF(SUM('P103'!$Y14:$AA14)&gt;5.9,"SI","NO")</f>
        <v>NO</v>
      </c>
      <c r="AC14" s="61">
        <f>SUM('P103'!$Y14:$AA14)</f>
        <v>0</v>
      </c>
      <c r="AD14" s="62">
        <v>0.5</v>
      </c>
      <c r="AE14" s="62">
        <v>2.0</v>
      </c>
      <c r="AF14" s="63" t="str">
        <f>IF('P103'!$AG14&gt;5.9,"SI","NO")</f>
        <v>NO</v>
      </c>
      <c r="AG14" s="64">
        <f>SUM('P103'!$AD14:$AE14)</f>
        <v>2.5</v>
      </c>
      <c r="AH14" s="141">
        <f>IF('P103'!$AF14="NO",0," ")</f>
        <v>0</v>
      </c>
      <c r="AI14" s="141">
        <f>IF('P103'!$AF14="NO",0," ")</f>
        <v>0</v>
      </c>
      <c r="AJ14" s="66">
        <f>AVERAGE('P103'!$AH14:$AI14)*'P103'!$H14</f>
        <v>0</v>
      </c>
      <c r="AK14" s="142">
        <v>0.0</v>
      </c>
      <c r="AL14" s="143">
        <v>0.0</v>
      </c>
      <c r="AM14" s="143">
        <v>0.0</v>
      </c>
      <c r="AN14" s="46">
        <f>(1*('P103'!$AL14+'P103'!$AM14))*'P103'!$AK14</f>
        <v>0</v>
      </c>
      <c r="AO14" s="70">
        <v>0.0</v>
      </c>
      <c r="AP14" s="71">
        <f>SUM('P103'!$U14)</f>
        <v>0</v>
      </c>
      <c r="AQ14" s="71">
        <f>SUM(AN14,AJ14,AG14,AC14,X14,('P103'!$AO14)*H14)</f>
        <v>2.5</v>
      </c>
      <c r="AR14" s="187">
        <f>'P103'!$AP14+'P103'!$AQ14</f>
        <v>2.5</v>
      </c>
    </row>
    <row r="15" ht="14.25" customHeight="1">
      <c r="A15" s="188" t="s">
        <v>276</v>
      </c>
      <c r="B15" s="189">
        <v>2.02100269E8</v>
      </c>
      <c r="C15" s="190" t="s">
        <v>277</v>
      </c>
      <c r="D15" s="191">
        <v>5.0</v>
      </c>
      <c r="E15" s="49"/>
      <c r="F15" s="51">
        <v>0.0</v>
      </c>
      <c r="G15" s="51">
        <v>0.0</v>
      </c>
      <c r="H15" s="185">
        <v>0.0</v>
      </c>
      <c r="I15" s="52">
        <v>1.5</v>
      </c>
      <c r="J15" s="53">
        <v>2.0</v>
      </c>
      <c r="K15" s="54">
        <v>3.0</v>
      </c>
      <c r="L15" s="55">
        <f>IF(I15&lt;1.79,SUM(I15:J15), SUM('P103'!$Q15:$S15))</f>
        <v>3.5</v>
      </c>
      <c r="M15" s="52">
        <v>0.0</v>
      </c>
      <c r="N15" s="53">
        <v>0.0</v>
      </c>
      <c r="O15" s="54">
        <v>0.0</v>
      </c>
      <c r="P15" s="55">
        <f>IF(M15&lt;1.79,SUM(M15:N15), SUM('P103'!$Q15:$S15))</f>
        <v>0</v>
      </c>
      <c r="Q15" s="52">
        <v>0.0</v>
      </c>
      <c r="R15" s="53">
        <v>0.0</v>
      </c>
      <c r="S15" s="54">
        <v>0.0</v>
      </c>
      <c r="T15" s="55">
        <f>IF(Q15&lt;1.79,SUM(Q15:R15), SUM('P103'!$Q15:$S15))</f>
        <v>0</v>
      </c>
      <c r="U15" s="56">
        <f>('P103'!$L15+'P103'!$P15+'P103'!$T15)*'P103'!$F15</f>
        <v>0</v>
      </c>
      <c r="V15" s="57">
        <v>3.8</v>
      </c>
      <c r="W15" s="57">
        <v>0.0</v>
      </c>
      <c r="X15" s="58">
        <f>SUM('P103'!$V15:$W15)*'P103'!$G15</f>
        <v>0</v>
      </c>
      <c r="Y15" s="59">
        <v>1.5</v>
      </c>
      <c r="Z15" s="59">
        <v>0.0</v>
      </c>
      <c r="AA15" s="59">
        <v>0.0</v>
      </c>
      <c r="AB15" s="60" t="str">
        <f>IF(SUM('P103'!$Y15:$AA15)&gt;5.9,"SI","NO")</f>
        <v>NO</v>
      </c>
      <c r="AC15" s="61">
        <f>SUM('P103'!$Y15:$AA15)</f>
        <v>1.5</v>
      </c>
      <c r="AD15" s="62">
        <v>0.5</v>
      </c>
      <c r="AE15" s="62">
        <v>4.5</v>
      </c>
      <c r="AF15" s="63" t="str">
        <f>IF('P103'!$AG15&gt;5.9,"SI","NO")</f>
        <v>NO</v>
      </c>
      <c r="AG15" s="64">
        <f>SUM('P103'!$AD15:$AE15)</f>
        <v>5</v>
      </c>
      <c r="AH15" s="141">
        <f>IF('P103'!$AF15="NO",0," ")</f>
        <v>0</v>
      </c>
      <c r="AI15" s="141">
        <f>IF('P103'!$AF15="NO",0," ")</f>
        <v>0</v>
      </c>
      <c r="AJ15" s="66">
        <f>AVERAGE('P103'!$AH15:$AI15)*'P103'!$H15</f>
        <v>0</v>
      </c>
      <c r="AK15" s="142">
        <v>0.0</v>
      </c>
      <c r="AL15" s="143">
        <v>0.0</v>
      </c>
      <c r="AM15" s="143">
        <v>0.0</v>
      </c>
      <c r="AN15" s="46">
        <f>(1*('P103'!$AL15+'P103'!$AM15))*'P103'!$AK15</f>
        <v>0</v>
      </c>
      <c r="AO15" s="70">
        <v>0.0</v>
      </c>
      <c r="AP15" s="71">
        <f>SUM('P103'!$U15)</f>
        <v>0</v>
      </c>
      <c r="AQ15" s="71">
        <f>SUM(AN15,AJ15,AG15,AC15,X15,('P103'!$AO15)*H15)</f>
        <v>6.5</v>
      </c>
      <c r="AR15" s="187">
        <f>'P103'!$AP15+'P103'!$AQ15</f>
        <v>6.5</v>
      </c>
    </row>
    <row r="16" ht="14.25" customHeight="1">
      <c r="A16" s="181" t="s">
        <v>278</v>
      </c>
      <c r="B16" s="182">
        <v>2.02304986E8</v>
      </c>
      <c r="C16" s="183" t="s">
        <v>279</v>
      </c>
      <c r="D16" s="184">
        <v>4.0</v>
      </c>
      <c r="E16" s="49"/>
      <c r="F16" s="51">
        <v>1.015</v>
      </c>
      <c r="G16" s="51">
        <v>0.5</v>
      </c>
      <c r="H16" s="185">
        <v>1.062</v>
      </c>
      <c r="I16" s="52">
        <v>3.0</v>
      </c>
      <c r="J16" s="53">
        <v>2.0</v>
      </c>
      <c r="K16" s="54">
        <v>1.6</v>
      </c>
      <c r="L16" s="55">
        <f>IF(I16&lt;1.79,SUM(I16:J16), SUM('P103'!$Q16:$S16))</f>
        <v>4.25</v>
      </c>
      <c r="M16" s="52">
        <v>2.25</v>
      </c>
      <c r="N16" s="53">
        <v>2.0</v>
      </c>
      <c r="O16" s="54">
        <v>0.0</v>
      </c>
      <c r="P16" s="55">
        <f>IF(M16&lt;1.79,SUM(M16:N16), SUM('P103'!$Q16:$S16))</f>
        <v>4.25</v>
      </c>
      <c r="Q16" s="52">
        <v>2.25</v>
      </c>
      <c r="R16" s="53">
        <v>2.0</v>
      </c>
      <c r="S16" s="54">
        <v>0.0</v>
      </c>
      <c r="T16" s="55">
        <f>IF(Q16&lt;1.79,SUM(Q16:R16), SUM('P103'!$Q16:$S16))</f>
        <v>4.25</v>
      </c>
      <c r="U16" s="56">
        <f>('P103'!$L16+'P103'!$P16+'P103'!$T16)*'P103'!$F16</f>
        <v>12.94125</v>
      </c>
      <c r="V16" s="57">
        <v>2.8</v>
      </c>
      <c r="W16" s="57">
        <v>0.0</v>
      </c>
      <c r="X16" s="58">
        <f>SUM('P103'!$V16:$W16)*'P103'!$G16</f>
        <v>1.4</v>
      </c>
      <c r="Y16" s="59">
        <v>1.0</v>
      </c>
      <c r="Z16" s="59">
        <v>0.0</v>
      </c>
      <c r="AA16" s="59">
        <v>3.75</v>
      </c>
      <c r="AB16" s="60" t="str">
        <f>IF(SUM('P103'!$Y16:$AA16)&gt;5.9,"SI","NO")</f>
        <v>NO</v>
      </c>
      <c r="AC16" s="61">
        <f>SUM('P103'!$Y16:$AA16)</f>
        <v>4.75</v>
      </c>
      <c r="AD16" s="62">
        <v>0.5</v>
      </c>
      <c r="AE16" s="62">
        <v>1.5</v>
      </c>
      <c r="AF16" s="63" t="str">
        <f>IF('P103'!$AG16&gt;5.9,"SI","NO")</f>
        <v>NO</v>
      </c>
      <c r="AG16" s="64">
        <f>SUM('P103'!$AD16:$AE16)</f>
        <v>2</v>
      </c>
      <c r="AH16" s="141">
        <f>IF('P103'!$AF16="NO",0," ")</f>
        <v>0</v>
      </c>
      <c r="AI16" s="141">
        <f>IF('P103'!$AF16="NO",0," ")</f>
        <v>0</v>
      </c>
      <c r="AJ16" s="66">
        <f>AVERAGE('P103'!$AH16:$AI16)*'P103'!$H16</f>
        <v>0</v>
      </c>
      <c r="AK16" s="142">
        <v>0.0</v>
      </c>
      <c r="AL16" s="143">
        <v>0.0</v>
      </c>
      <c r="AM16" s="143">
        <v>0.0</v>
      </c>
      <c r="AN16" s="46">
        <f>(1*('P103'!$AL16+'P103'!$AM16))*'P103'!$AK16</f>
        <v>0</v>
      </c>
      <c r="AO16" s="70">
        <v>0.0</v>
      </c>
      <c r="AP16" s="71">
        <f>SUM('P103'!$U16)</f>
        <v>12.94125</v>
      </c>
      <c r="AQ16" s="71">
        <f>SUM(AN16,AJ16,AG16,AC16,X16,('P103'!$AO16)*H16)</f>
        <v>8.15</v>
      </c>
      <c r="AR16" s="187">
        <f>'P103'!$AP16+'P103'!$AQ16</f>
        <v>21.09125</v>
      </c>
    </row>
    <row r="17" ht="14.25" customHeight="1">
      <c r="A17" s="188" t="s">
        <v>280</v>
      </c>
      <c r="B17" s="189">
        <v>2.02509857E8</v>
      </c>
      <c r="C17" s="190" t="s">
        <v>281</v>
      </c>
      <c r="D17" s="191">
        <v>8.0</v>
      </c>
      <c r="E17" s="49"/>
      <c r="F17" s="51">
        <v>1.052</v>
      </c>
      <c r="G17" s="51">
        <v>1.05</v>
      </c>
      <c r="H17" s="185">
        <v>1.033</v>
      </c>
      <c r="I17" s="52">
        <v>2.25</v>
      </c>
      <c r="J17" s="53">
        <v>2.0</v>
      </c>
      <c r="K17" s="54">
        <v>3.35</v>
      </c>
      <c r="L17" s="55">
        <f>IF(I17&lt;1.79,SUM(I17:J17), SUM('P103'!$Q17:$S17))</f>
        <v>7.15</v>
      </c>
      <c r="M17" s="52">
        <v>2.25</v>
      </c>
      <c r="N17" s="53">
        <v>2.0</v>
      </c>
      <c r="O17" s="54">
        <v>2.9</v>
      </c>
      <c r="P17" s="55">
        <f>IF(M17&lt;1.79,SUM(M17:N17), SUM('P103'!$Q17:$S17))</f>
        <v>7.15</v>
      </c>
      <c r="Q17" s="52">
        <v>2.25</v>
      </c>
      <c r="R17" s="53">
        <v>2.0</v>
      </c>
      <c r="S17" s="54">
        <v>2.9</v>
      </c>
      <c r="T17" s="55">
        <f>IF(Q17&lt;1.79,SUM(Q17:R17), SUM('P103'!$Q17:$S17))</f>
        <v>7.15</v>
      </c>
      <c r="U17" s="56">
        <f>('P103'!$L17+'P103'!$P17+'P103'!$T17)*'P103'!$F17</f>
        <v>22.5654</v>
      </c>
      <c r="V17" s="57">
        <v>2.95</v>
      </c>
      <c r="W17" s="57">
        <v>6.4</v>
      </c>
      <c r="X17" s="58">
        <f>SUM('P103'!$V17:$W17)*'P103'!$G17</f>
        <v>9.8175</v>
      </c>
      <c r="Y17" s="59">
        <v>1.5</v>
      </c>
      <c r="Z17" s="59">
        <v>3.0</v>
      </c>
      <c r="AA17" s="59">
        <v>0.0</v>
      </c>
      <c r="AB17" s="60" t="str">
        <f>IF(SUM('P103'!$Y17:$AA17)&gt;5.9,"SI","NO")</f>
        <v>NO</v>
      </c>
      <c r="AC17" s="61">
        <f>SUM('P103'!$Y17:$AA17)</f>
        <v>4.5</v>
      </c>
      <c r="AD17" s="62">
        <v>0.5</v>
      </c>
      <c r="AE17" s="62">
        <v>5.5</v>
      </c>
      <c r="AF17" s="63" t="str">
        <f>IF('P103'!$AG17&gt;5.9,"SI","NO")</f>
        <v>SI</v>
      </c>
      <c r="AG17" s="64">
        <f>SUM('P103'!$AD17:$AE17)</f>
        <v>6</v>
      </c>
      <c r="AH17" s="65">
        <v>4.0</v>
      </c>
      <c r="AI17" s="65">
        <v>4.3</v>
      </c>
      <c r="AJ17" s="66">
        <f>AVERAGE('P103'!$AH17:$AI17)*'P103'!$H17</f>
        <v>4.28695</v>
      </c>
      <c r="AK17" s="142">
        <v>1.0</v>
      </c>
      <c r="AL17" s="68">
        <v>0.0</v>
      </c>
      <c r="AM17" s="69">
        <v>0.0</v>
      </c>
      <c r="AN17" s="46">
        <f>(1*('P103'!$AL17+'P103'!$AM17))*'P103'!$AK17</f>
        <v>0</v>
      </c>
      <c r="AO17" s="192">
        <v>7.25</v>
      </c>
      <c r="AP17" s="71">
        <f>SUM('P103'!$U17)</f>
        <v>22.5654</v>
      </c>
      <c r="AQ17" s="71">
        <f>SUM(AN17,AJ17,AG17,AC17,X17,('P103'!$AO17)*H17)</f>
        <v>32.0937</v>
      </c>
      <c r="AR17" s="187">
        <f>'P103'!$AP17+'P103'!$AQ17</f>
        <v>54.6591</v>
      </c>
    </row>
    <row r="18" ht="14.25" customHeight="1">
      <c r="A18" s="181" t="s">
        <v>282</v>
      </c>
      <c r="B18" s="182">
        <v>2.025104E8</v>
      </c>
      <c r="C18" s="183" t="s">
        <v>283</v>
      </c>
      <c r="D18" s="184">
        <v>2.0</v>
      </c>
      <c r="E18" s="49"/>
      <c r="F18" s="51">
        <v>1.068</v>
      </c>
      <c r="G18" s="51">
        <v>0.998</v>
      </c>
      <c r="H18" s="185">
        <v>0.5</v>
      </c>
      <c r="I18" s="52">
        <v>1.5</v>
      </c>
      <c r="J18" s="53">
        <v>2.0</v>
      </c>
      <c r="K18" s="54">
        <v>4.0</v>
      </c>
      <c r="L18" s="55">
        <f>IF(I18&lt;1.79,SUM(I18:J18), SUM('P103'!$Q18:$S18))</f>
        <v>3.5</v>
      </c>
      <c r="M18" s="52">
        <v>2.25</v>
      </c>
      <c r="N18" s="53">
        <v>2.0</v>
      </c>
      <c r="O18" s="54">
        <v>0.0</v>
      </c>
      <c r="P18" s="55">
        <f>IF(M18&lt;1.79,SUM(M18:N18), SUM('P103'!$Q18:$S18))</f>
        <v>4.25</v>
      </c>
      <c r="Q18" s="52">
        <v>2.25</v>
      </c>
      <c r="R18" s="53">
        <v>2.0</v>
      </c>
      <c r="S18" s="54">
        <v>0.0</v>
      </c>
      <c r="T18" s="55">
        <f>IF(Q18&lt;1.79,SUM(Q18:R18), SUM('P103'!$Q18:$S18))</f>
        <v>4.25</v>
      </c>
      <c r="U18" s="56">
        <f>('P103'!$L18+'P103'!$P18+'P103'!$T18)*'P103'!$F18</f>
        <v>12.816</v>
      </c>
      <c r="V18" s="57">
        <v>3.3</v>
      </c>
      <c r="W18" s="57">
        <v>6.9</v>
      </c>
      <c r="X18" s="58">
        <f>SUM('P103'!$V18:$W18)*'P103'!$G18</f>
        <v>10.1796</v>
      </c>
      <c r="Y18" s="59">
        <v>0.5</v>
      </c>
      <c r="Z18" s="59">
        <v>0.0</v>
      </c>
      <c r="AA18" s="59">
        <v>0.0</v>
      </c>
      <c r="AB18" s="60" t="str">
        <f>IF(SUM('P103'!$Y18:$AA18)&gt;5.9,"SI","NO")</f>
        <v>NO</v>
      </c>
      <c r="AC18" s="61">
        <f>SUM('P103'!$Y18:$AA18)</f>
        <v>0.5</v>
      </c>
      <c r="AD18" s="62">
        <v>0.5</v>
      </c>
      <c r="AE18" s="62">
        <v>3.5</v>
      </c>
      <c r="AF18" s="63" t="str">
        <f>IF('P103'!$AG18&gt;5.9,"SI","NO")</f>
        <v>NO</v>
      </c>
      <c r="AG18" s="64">
        <f>SUM('P103'!$AD18:$AE18)</f>
        <v>4</v>
      </c>
      <c r="AH18" s="141">
        <f>IF('P103'!$AF18="NO",0," ")</f>
        <v>0</v>
      </c>
      <c r="AI18" s="141">
        <f>IF('P103'!$AF18="NO",0," ")</f>
        <v>0</v>
      </c>
      <c r="AJ18" s="66">
        <f>AVERAGE('P103'!$AH18:$AI18)*'P103'!$H18</f>
        <v>0</v>
      </c>
      <c r="AK18" s="142">
        <v>0.0</v>
      </c>
      <c r="AL18" s="143">
        <v>0.0</v>
      </c>
      <c r="AM18" s="143">
        <v>0.0</v>
      </c>
      <c r="AN18" s="46">
        <f>(1*('P103'!$AL18+'P103'!$AM18))*'P103'!$AK18</f>
        <v>0</v>
      </c>
      <c r="AO18" s="70">
        <v>0.0</v>
      </c>
      <c r="AP18" s="71">
        <f>SUM('P103'!$U18)</f>
        <v>12.816</v>
      </c>
      <c r="AQ18" s="71">
        <f>SUM(AN18,AJ18,AG18,AC18,X18,('P103'!$AO18)*H18)</f>
        <v>14.6796</v>
      </c>
      <c r="AR18" s="187">
        <f>'P103'!$AP18+'P103'!$AQ18</f>
        <v>27.4956</v>
      </c>
    </row>
    <row r="19" ht="14.25" customHeight="1">
      <c r="A19" s="188" t="s">
        <v>284</v>
      </c>
      <c r="B19" s="189">
        <v>2.02401808E8</v>
      </c>
      <c r="C19" s="190" t="s">
        <v>285</v>
      </c>
      <c r="D19" s="191">
        <v>10.0</v>
      </c>
      <c r="E19" s="49"/>
      <c r="F19" s="51">
        <v>0.0</v>
      </c>
      <c r="G19" s="51">
        <v>0.0</v>
      </c>
      <c r="H19" s="185">
        <v>0.0</v>
      </c>
      <c r="I19" s="52">
        <v>2.25</v>
      </c>
      <c r="J19" s="53">
        <v>2.0</v>
      </c>
      <c r="K19" s="54">
        <v>0.0</v>
      </c>
      <c r="L19" s="55">
        <f>IF(I19&lt;1.79,SUM(I19:J19), SUM('P103'!$Q19:$S19))</f>
        <v>0</v>
      </c>
      <c r="M19" s="52">
        <v>0.0</v>
      </c>
      <c r="N19" s="53">
        <v>0.0</v>
      </c>
      <c r="O19" s="54">
        <v>0.0</v>
      </c>
      <c r="P19" s="55">
        <f>IF(M19&lt;1.79,SUM(M19:N19), SUM('P103'!$Q19:$S19))</f>
        <v>0</v>
      </c>
      <c r="Q19" s="52">
        <v>0.0</v>
      </c>
      <c r="R19" s="53">
        <v>0.0</v>
      </c>
      <c r="S19" s="54">
        <v>0.0</v>
      </c>
      <c r="T19" s="55">
        <f>IF(Q19&lt;1.79,SUM(Q19:R19), SUM('P103'!$Q19:$S19))</f>
        <v>0</v>
      </c>
      <c r="U19" s="56">
        <f>('P103'!$L19+'P103'!$P19+'P103'!$T19)*'P103'!$F19</f>
        <v>0</v>
      </c>
      <c r="V19" s="57">
        <v>0.75</v>
      </c>
      <c r="W19" s="57">
        <v>0.0</v>
      </c>
      <c r="X19" s="58">
        <f>SUM('P103'!$V19:$W19)*'P103'!$G19</f>
        <v>0</v>
      </c>
      <c r="Y19" s="59">
        <v>1.0</v>
      </c>
      <c r="Z19" s="59">
        <v>0.0</v>
      </c>
      <c r="AA19" s="59">
        <v>0.0</v>
      </c>
      <c r="AB19" s="60" t="str">
        <f>IF(SUM('P103'!$Y19:$AA19)&gt;5.9,"SI","NO")</f>
        <v>NO</v>
      </c>
      <c r="AC19" s="61">
        <f>SUM('P103'!$Y19:$AA19)</f>
        <v>1</v>
      </c>
      <c r="AD19" s="62">
        <v>0.5</v>
      </c>
      <c r="AE19" s="62">
        <v>2.0</v>
      </c>
      <c r="AF19" s="63" t="str">
        <f>IF('P103'!$AG19&gt;5.9,"SI","NO")</f>
        <v>NO</v>
      </c>
      <c r="AG19" s="64">
        <f>SUM('P103'!$AD19:$AE19)</f>
        <v>2.5</v>
      </c>
      <c r="AH19" s="141">
        <f>IF('P103'!$AF19="NO",0," ")</f>
        <v>0</v>
      </c>
      <c r="AI19" s="141">
        <f>IF('P103'!$AF19="NO",0," ")</f>
        <v>0</v>
      </c>
      <c r="AJ19" s="66">
        <f>AVERAGE('P103'!$AH19:$AI19)*'P103'!$H19</f>
        <v>0</v>
      </c>
      <c r="AK19" s="142">
        <v>0.0</v>
      </c>
      <c r="AL19" s="143">
        <v>0.0</v>
      </c>
      <c r="AM19" s="143">
        <v>0.0</v>
      </c>
      <c r="AN19" s="46">
        <f>(1*('P103'!$AL19+'P103'!$AM19))*'P103'!$AK19</f>
        <v>0</v>
      </c>
      <c r="AO19" s="70">
        <v>0.0</v>
      </c>
      <c r="AP19" s="71">
        <f>SUM('P103'!$U19)</f>
        <v>0</v>
      </c>
      <c r="AQ19" s="71">
        <f>SUM(AN19,AJ19,AG19,AC19,X19,('P103'!$AO19)*H19)</f>
        <v>3.5</v>
      </c>
      <c r="AR19" s="187">
        <f>'P103'!$AP19+'P103'!$AQ19</f>
        <v>3.5</v>
      </c>
    </row>
    <row r="20" ht="14.25" customHeight="1">
      <c r="A20" s="181" t="s">
        <v>286</v>
      </c>
      <c r="B20" s="182">
        <v>2.02509774E8</v>
      </c>
      <c r="C20" s="183" t="s">
        <v>287</v>
      </c>
      <c r="D20" s="184">
        <v>6.0</v>
      </c>
      <c r="E20" s="49"/>
      <c r="F20" s="51">
        <v>1.017</v>
      </c>
      <c r="G20" s="51">
        <v>0.994</v>
      </c>
      <c r="H20" s="185">
        <v>1.021</v>
      </c>
      <c r="I20" s="52">
        <v>3.0</v>
      </c>
      <c r="J20" s="53">
        <v>2.0</v>
      </c>
      <c r="K20" s="54">
        <v>4.05</v>
      </c>
      <c r="L20" s="55">
        <f>IF(I20&lt;1.79,SUM(I20:J20), SUM('P103'!$Q20:$S20))</f>
        <v>7.98</v>
      </c>
      <c r="M20" s="52">
        <v>1.88</v>
      </c>
      <c r="N20" s="53">
        <v>2.0</v>
      </c>
      <c r="O20" s="54">
        <v>4.1</v>
      </c>
      <c r="P20" s="55">
        <f>IF(M20&lt;1.79,SUM(M20:N20), SUM('P103'!$Q20:$S20))</f>
        <v>7.98</v>
      </c>
      <c r="Q20" s="52">
        <v>1.88</v>
      </c>
      <c r="R20" s="53">
        <v>2.0</v>
      </c>
      <c r="S20" s="54">
        <v>4.1</v>
      </c>
      <c r="T20" s="55">
        <f>IF(Q20&lt;1.79,SUM(Q20:R20), SUM('P103'!$Q20:$S20))</f>
        <v>7.98</v>
      </c>
      <c r="U20" s="56">
        <f>('P103'!$L20+'P103'!$P20+'P103'!$T20)*'P103'!$F20</f>
        <v>24.34698</v>
      </c>
      <c r="V20" s="57">
        <v>4.3</v>
      </c>
      <c r="W20" s="57">
        <v>7.1</v>
      </c>
      <c r="X20" s="58">
        <f>SUM('P103'!$V20:$W20)*'P103'!$G20</f>
        <v>11.3316</v>
      </c>
      <c r="Y20" s="59">
        <v>2.0</v>
      </c>
      <c r="Z20" s="59">
        <v>3.0</v>
      </c>
      <c r="AA20" s="59">
        <v>2.5</v>
      </c>
      <c r="AB20" s="60" t="str">
        <f>IF(SUM('P103'!$Y20:$AA20)&gt;5.9,"SI","NO")</f>
        <v>SI</v>
      </c>
      <c r="AC20" s="61">
        <f>SUM('P103'!$Y20:$AA20)</f>
        <v>7.5</v>
      </c>
      <c r="AD20" s="62">
        <v>1.0</v>
      </c>
      <c r="AE20" s="62">
        <v>4.5</v>
      </c>
      <c r="AF20" s="63" t="str">
        <f>IF('P103'!$AG20&gt;5.9,"SI","NO")</f>
        <v>NO</v>
      </c>
      <c r="AG20" s="64">
        <f>SUM('P103'!$AD20:$AE20)</f>
        <v>5.5</v>
      </c>
      <c r="AH20" s="65">
        <v>5.0</v>
      </c>
      <c r="AI20" s="65">
        <v>5.0</v>
      </c>
      <c r="AJ20" s="66">
        <f>AVERAGE('P103'!$AH20:$AI20)*'P103'!$H20</f>
        <v>5.105</v>
      </c>
      <c r="AK20" s="142">
        <v>1.0</v>
      </c>
      <c r="AL20" s="143">
        <v>6.5</v>
      </c>
      <c r="AM20" s="143">
        <v>6.5</v>
      </c>
      <c r="AN20" s="46">
        <f>(1*('P103'!$AL20+'P103'!$AM20))*'P103'!$AK20</f>
        <v>13</v>
      </c>
      <c r="AO20" s="70">
        <v>8.0</v>
      </c>
      <c r="AP20" s="71">
        <f>SUM('P103'!$U20)</f>
        <v>24.34698</v>
      </c>
      <c r="AQ20" s="71">
        <f>SUM(AN20,AJ20,AG20,AC20,X20,('P103'!$AO20)*H20)</f>
        <v>50.6046</v>
      </c>
      <c r="AR20" s="193">
        <f>'P103'!$AP20+'P103'!$AQ20</f>
        <v>74.95158</v>
      </c>
    </row>
    <row r="21" ht="14.25" customHeight="1">
      <c r="A21" s="188" t="s">
        <v>288</v>
      </c>
      <c r="B21" s="189">
        <v>2.02504965E8</v>
      </c>
      <c r="C21" s="190" t="s">
        <v>289</v>
      </c>
      <c r="D21" s="191">
        <v>1.0</v>
      </c>
      <c r="E21" s="49"/>
      <c r="F21" s="51">
        <v>1.136</v>
      </c>
      <c r="G21" s="51">
        <v>1.147</v>
      </c>
      <c r="H21" s="185">
        <v>1.126</v>
      </c>
      <c r="I21" s="52">
        <v>3.0</v>
      </c>
      <c r="J21" s="53">
        <v>2.0</v>
      </c>
      <c r="K21" s="54">
        <v>4.0</v>
      </c>
      <c r="L21" s="55">
        <f>IF(I21&lt;1.79,SUM(I21:J21), SUM('P103'!$Q21:$S21))</f>
        <v>8.7</v>
      </c>
      <c r="M21" s="52">
        <v>2.25</v>
      </c>
      <c r="N21" s="53">
        <v>2.0</v>
      </c>
      <c r="O21" s="54">
        <v>4.45</v>
      </c>
      <c r="P21" s="55">
        <f>IF(M21&lt;1.79,SUM(M21:N21), SUM('P103'!$Q21:$S21))</f>
        <v>8.7</v>
      </c>
      <c r="Q21" s="52">
        <v>2.25</v>
      </c>
      <c r="R21" s="53">
        <v>2.0</v>
      </c>
      <c r="S21" s="54">
        <v>4.45</v>
      </c>
      <c r="T21" s="55">
        <f>IF(Q21&lt;1.79,SUM(Q21:R21), SUM('P103'!$Q21:$S21))</f>
        <v>8.7</v>
      </c>
      <c r="U21" s="56">
        <f>('P103'!$L21+'P103'!$P21+'P103'!$T21)*'P103'!$F21</f>
        <v>29.6496</v>
      </c>
      <c r="V21" s="57">
        <v>2.9</v>
      </c>
      <c r="W21" s="57">
        <v>7.1</v>
      </c>
      <c r="X21" s="58">
        <f>SUM('P103'!$V21:$W21)*'P103'!$G21</f>
        <v>11.47</v>
      </c>
      <c r="Y21" s="59">
        <v>0.5</v>
      </c>
      <c r="Z21" s="59">
        <v>0.0</v>
      </c>
      <c r="AA21" s="59">
        <v>1.25</v>
      </c>
      <c r="AB21" s="60" t="str">
        <f>IF(SUM('P103'!$Y21:$AA21)&gt;5.9,"SI","NO")</f>
        <v>NO</v>
      </c>
      <c r="AC21" s="61">
        <f>SUM('P103'!$Y21:$AA21)</f>
        <v>1.75</v>
      </c>
      <c r="AD21" s="62">
        <v>0.5</v>
      </c>
      <c r="AE21" s="62">
        <v>4.0</v>
      </c>
      <c r="AF21" s="63" t="str">
        <f>IF('P103'!$AG21&gt;5.9,"SI","NO")</f>
        <v>NO</v>
      </c>
      <c r="AG21" s="64">
        <f>SUM('P103'!$AD21:$AE21)</f>
        <v>4.5</v>
      </c>
      <c r="AH21" s="141">
        <f>IF('P103'!$AF21="NO",0," ")</f>
        <v>0</v>
      </c>
      <c r="AI21" s="141">
        <f>IF('P103'!$AF21="NO",0," ")</f>
        <v>0</v>
      </c>
      <c r="AJ21" s="66">
        <f>AVERAGE('P103'!$AH21:$AI21)*'P103'!$H21</f>
        <v>0</v>
      </c>
      <c r="AK21" s="142">
        <v>0.0</v>
      </c>
      <c r="AL21" s="143">
        <v>0.0</v>
      </c>
      <c r="AM21" s="143">
        <v>0.0</v>
      </c>
      <c r="AN21" s="46">
        <f>(1*('P103'!$AL21+'P103'!$AM21))*'P103'!$AK21</f>
        <v>0</v>
      </c>
      <c r="AO21" s="70">
        <v>6.5</v>
      </c>
      <c r="AP21" s="71">
        <f>SUM('P103'!$U21)</f>
        <v>29.6496</v>
      </c>
      <c r="AQ21" s="71">
        <f>SUM(AN21,AJ21,AG21,AC21,X21,('P103'!$AO21)*H21)</f>
        <v>25.039</v>
      </c>
      <c r="AR21" s="187">
        <f>'P103'!$AP21+'P103'!$AQ21</f>
        <v>54.6886</v>
      </c>
    </row>
    <row r="22" ht="14.25" customHeight="1">
      <c r="A22" s="181" t="s">
        <v>290</v>
      </c>
      <c r="B22" s="182">
        <v>2.02508834E8</v>
      </c>
      <c r="C22" s="183" t="s">
        <v>291</v>
      </c>
      <c r="D22" s="184">
        <v>3.0</v>
      </c>
      <c r="E22" s="49"/>
      <c r="F22" s="51">
        <v>0.5</v>
      </c>
      <c r="G22" s="51">
        <v>1.159</v>
      </c>
      <c r="H22" s="185">
        <v>1.132</v>
      </c>
      <c r="I22" s="52">
        <v>3.0</v>
      </c>
      <c r="J22" s="53">
        <v>2.0</v>
      </c>
      <c r="K22" s="54">
        <v>2.9</v>
      </c>
      <c r="L22" s="55">
        <f>IF(I22&lt;1.79,SUM(I22:J22), SUM('P103'!$Q22:$S22))</f>
        <v>6.65</v>
      </c>
      <c r="M22" s="52">
        <v>0.75</v>
      </c>
      <c r="N22" s="53">
        <v>2.0</v>
      </c>
      <c r="O22" s="54">
        <v>3.9</v>
      </c>
      <c r="P22" s="55">
        <f>IF(M22&lt;1.79,SUM(M22:N22), SUM('P103'!$Q22:$S22))</f>
        <v>2.75</v>
      </c>
      <c r="Q22" s="52">
        <v>0.75</v>
      </c>
      <c r="R22" s="53">
        <v>2.0</v>
      </c>
      <c r="S22" s="54">
        <v>3.9</v>
      </c>
      <c r="T22" s="55">
        <f>IF(Q22&lt;1.79,SUM(Q22:R22), SUM('P103'!$Q22:$S22))</f>
        <v>2.75</v>
      </c>
      <c r="U22" s="56">
        <f>('P103'!$L22+'P103'!$P22+'P103'!$T22)*'P103'!$F22</f>
        <v>6.075</v>
      </c>
      <c r="V22" s="57">
        <v>2.6</v>
      </c>
      <c r="W22" s="57">
        <v>5.6</v>
      </c>
      <c r="X22" s="58">
        <f>SUM('P103'!$V22:$W22)*'P103'!$G22</f>
        <v>9.5038</v>
      </c>
      <c r="Y22" s="59">
        <v>1.5</v>
      </c>
      <c r="Z22" s="59">
        <v>0.0</v>
      </c>
      <c r="AA22" s="59">
        <v>0.0</v>
      </c>
      <c r="AB22" s="60" t="str">
        <f>IF(SUM('P103'!$Y22:$AA22)&gt;5.9,"SI","NO")</f>
        <v>NO</v>
      </c>
      <c r="AC22" s="61">
        <f>SUM('P103'!$Y22:$AA22)</f>
        <v>1.5</v>
      </c>
      <c r="AD22" s="62">
        <v>0.5</v>
      </c>
      <c r="AE22" s="62">
        <v>2.0</v>
      </c>
      <c r="AF22" s="63" t="str">
        <f>IF('P103'!$AG22&gt;5.9,"SI","NO")</f>
        <v>NO</v>
      </c>
      <c r="AG22" s="64">
        <f>SUM('P103'!$AD22:$AE22)</f>
        <v>2.5</v>
      </c>
      <c r="AH22" s="141">
        <f>IF('P103'!$AF22="NO",0," ")</f>
        <v>0</v>
      </c>
      <c r="AI22" s="141">
        <f>IF('P103'!$AF22="NO",0," ")</f>
        <v>0</v>
      </c>
      <c r="AJ22" s="66">
        <f>AVERAGE('P103'!$AH22:$AI22)*'P103'!$H22</f>
        <v>0</v>
      </c>
      <c r="AK22" s="142">
        <v>0.0</v>
      </c>
      <c r="AL22" s="143">
        <v>0.0</v>
      </c>
      <c r="AM22" s="143">
        <v>0.0</v>
      </c>
      <c r="AN22" s="46">
        <f>(1*('P103'!$AL22+'P103'!$AM22))*'P103'!$AK22</f>
        <v>0</v>
      </c>
      <c r="AO22" s="70">
        <v>6.5</v>
      </c>
      <c r="AP22" s="71">
        <f>SUM('P103'!$U22)</f>
        <v>6.075</v>
      </c>
      <c r="AQ22" s="71">
        <f>SUM(AN22,AJ22,AG22,AC22,X22,('P103'!$AO22)*H22)</f>
        <v>20.8618</v>
      </c>
      <c r="AR22" s="187">
        <f>'P103'!$AP22+'P103'!$AQ22</f>
        <v>26.9368</v>
      </c>
    </row>
    <row r="23" ht="14.25" customHeight="1">
      <c r="A23" s="188" t="s">
        <v>292</v>
      </c>
      <c r="B23" s="189">
        <v>2.02510137E8</v>
      </c>
      <c r="C23" s="190" t="s">
        <v>293</v>
      </c>
      <c r="D23" s="191">
        <v>7.0</v>
      </c>
      <c r="E23" s="49"/>
      <c r="F23" s="51">
        <v>1.006</v>
      </c>
      <c r="G23" s="51">
        <v>1.04</v>
      </c>
      <c r="H23" s="185">
        <v>0.5</v>
      </c>
      <c r="I23" s="52">
        <v>0.0</v>
      </c>
      <c r="J23" s="53">
        <v>2.0</v>
      </c>
      <c r="K23" s="54">
        <v>2.3</v>
      </c>
      <c r="L23" s="55">
        <f>IF(I23&lt;1.79,SUM(I23:J23), SUM('P103'!$Q23:$S23))</f>
        <v>2</v>
      </c>
      <c r="M23" s="52">
        <v>3.0</v>
      </c>
      <c r="N23" s="53">
        <v>2.0</v>
      </c>
      <c r="O23" s="54">
        <v>2.8</v>
      </c>
      <c r="P23" s="55">
        <f>IF(M23&lt;1.79,SUM(M23:N23), SUM('P103'!$Q23:$S23))</f>
        <v>7.8</v>
      </c>
      <c r="Q23" s="52">
        <v>3.0</v>
      </c>
      <c r="R23" s="53">
        <v>2.0</v>
      </c>
      <c r="S23" s="54">
        <v>2.8</v>
      </c>
      <c r="T23" s="55">
        <f>IF(Q23&lt;1.79,SUM(Q23:R23), SUM('P103'!$Q23:$S23))</f>
        <v>7.8</v>
      </c>
      <c r="U23" s="56">
        <f>('P103'!$L23+'P103'!$P23+'P103'!$T23)*'P103'!$F23</f>
        <v>17.7056</v>
      </c>
      <c r="V23" s="57">
        <v>4.8</v>
      </c>
      <c r="W23" s="57">
        <v>7.8</v>
      </c>
      <c r="X23" s="58">
        <f>SUM('P103'!$V23:$W23)*'P103'!$G23</f>
        <v>13.104</v>
      </c>
      <c r="Y23" s="59">
        <v>1.0</v>
      </c>
      <c r="Z23" s="59">
        <v>0.0</v>
      </c>
      <c r="AA23" s="59">
        <v>0.0</v>
      </c>
      <c r="AB23" s="60" t="str">
        <f>IF(SUM('P103'!$Y23:$AA23)&gt;5.9,"SI","NO")</f>
        <v>NO</v>
      </c>
      <c r="AC23" s="61">
        <f>SUM('P103'!$Y23:$AA23)</f>
        <v>1</v>
      </c>
      <c r="AD23" s="62">
        <v>0.75</v>
      </c>
      <c r="AE23" s="62">
        <v>5.5</v>
      </c>
      <c r="AF23" s="63" t="str">
        <f>IF('P103'!$AG23&gt;5.9,"SI","NO")</f>
        <v>SI</v>
      </c>
      <c r="AG23" s="64">
        <f>SUM('P103'!$AD23:$AE23)</f>
        <v>6.25</v>
      </c>
      <c r="AH23" s="65">
        <v>0.0</v>
      </c>
      <c r="AI23" s="65">
        <v>0.0</v>
      </c>
      <c r="AJ23" s="66">
        <f>AVERAGE('P103'!$AH23:$AI23)*'P103'!$H23</f>
        <v>0</v>
      </c>
      <c r="AK23" s="142">
        <v>0.0</v>
      </c>
      <c r="AL23" s="143">
        <v>0.0</v>
      </c>
      <c r="AM23" s="143">
        <v>0.0</v>
      </c>
      <c r="AN23" s="46">
        <f>(1*('P103'!$AL23+'P103'!$AM23))*'P103'!$AK23</f>
        <v>0</v>
      </c>
      <c r="AO23" s="70">
        <v>9.0</v>
      </c>
      <c r="AP23" s="71">
        <f>SUM('P103'!$U23)</f>
        <v>17.7056</v>
      </c>
      <c r="AQ23" s="71">
        <f>SUM(AN23,AJ23,AG23,AC23,X23,('P103'!$AO23)*H23)</f>
        <v>24.854</v>
      </c>
      <c r="AR23" s="187">
        <f>'P103'!$AP23+'P103'!$AQ23</f>
        <v>42.5596</v>
      </c>
    </row>
    <row r="24" ht="14.25" customHeight="1">
      <c r="A24" s="181" t="s">
        <v>294</v>
      </c>
      <c r="B24" s="182">
        <v>2.02509865E8</v>
      </c>
      <c r="C24" s="183" t="s">
        <v>295</v>
      </c>
      <c r="D24" s="184">
        <v>4.0</v>
      </c>
      <c r="E24" s="49"/>
      <c r="F24" s="51">
        <v>0.962</v>
      </c>
      <c r="G24" s="51">
        <v>0.5</v>
      </c>
      <c r="H24" s="185">
        <v>0.859</v>
      </c>
      <c r="I24" s="52">
        <v>2.25</v>
      </c>
      <c r="J24" s="53">
        <v>2.0</v>
      </c>
      <c r="K24" s="54">
        <v>2.5</v>
      </c>
      <c r="L24" s="55">
        <f>IF(I24&lt;1.79,SUM(I24:J24), SUM('P103'!$Q24:$S24))</f>
        <v>8.3</v>
      </c>
      <c r="M24" s="52">
        <v>2.25</v>
      </c>
      <c r="N24" s="53">
        <v>2.0</v>
      </c>
      <c r="O24" s="54">
        <v>4.05</v>
      </c>
      <c r="P24" s="55">
        <f>IF(M24&lt;1.79,SUM(M24:N24), SUM('P103'!$Q24:$S24))</f>
        <v>8.3</v>
      </c>
      <c r="Q24" s="52">
        <v>2.25</v>
      </c>
      <c r="R24" s="53">
        <v>2.0</v>
      </c>
      <c r="S24" s="54">
        <v>4.05</v>
      </c>
      <c r="T24" s="55">
        <f>IF(Q24&lt;1.79,SUM(Q24:R24), SUM('P103'!$Q24:$S24))</f>
        <v>8.3</v>
      </c>
      <c r="U24" s="56">
        <f>('P103'!$L24+'P103'!$P24+'P103'!$T24)*'P103'!$F24</f>
        <v>23.9538</v>
      </c>
      <c r="V24" s="57">
        <v>2.8</v>
      </c>
      <c r="W24" s="57">
        <v>0.0</v>
      </c>
      <c r="X24" s="58">
        <f>SUM('P103'!$V24:$W24)*'P103'!$G24</f>
        <v>1.4</v>
      </c>
      <c r="Y24" s="59">
        <v>1.5</v>
      </c>
      <c r="Z24" s="59">
        <v>0.0</v>
      </c>
      <c r="AA24" s="59">
        <v>0.0</v>
      </c>
      <c r="AB24" s="60" t="str">
        <f>IF(SUM('P103'!$Y24:$AA24)&gt;5.9,"SI","NO")</f>
        <v>NO</v>
      </c>
      <c r="AC24" s="61">
        <f>SUM('P103'!$Y24:$AA24)</f>
        <v>1.5</v>
      </c>
      <c r="AD24" s="62">
        <v>0.5</v>
      </c>
      <c r="AE24" s="62">
        <v>1.5</v>
      </c>
      <c r="AF24" s="63" t="str">
        <f>IF('P103'!$AG24&gt;5.9,"SI","NO")</f>
        <v>NO</v>
      </c>
      <c r="AG24" s="64">
        <f>SUM('P103'!$AD24:$AE24)</f>
        <v>2</v>
      </c>
      <c r="AH24" s="141">
        <f>IF('P103'!$AF24="NO",0," ")</f>
        <v>0</v>
      </c>
      <c r="AI24" s="141">
        <f>IF('P103'!$AF24="NO",0," ")</f>
        <v>0</v>
      </c>
      <c r="AJ24" s="66">
        <f>AVERAGE('P103'!$AH24:$AI24)*'P103'!$H24</f>
        <v>0</v>
      </c>
      <c r="AK24" s="142">
        <v>0.0</v>
      </c>
      <c r="AL24" s="143">
        <v>0.0</v>
      </c>
      <c r="AM24" s="143">
        <v>0.0</v>
      </c>
      <c r="AN24" s="46">
        <f>(1*('P103'!$AL24+'P103'!$AM24))*'P103'!$AK24</f>
        <v>0</v>
      </c>
      <c r="AO24" s="70">
        <v>0.0</v>
      </c>
      <c r="AP24" s="71">
        <f>SUM('P103'!$U24)</f>
        <v>23.9538</v>
      </c>
      <c r="AQ24" s="71">
        <f>SUM(AN24,AJ24,AG24,AC24,X24,('P103'!$AO24)*H24)</f>
        <v>4.9</v>
      </c>
      <c r="AR24" s="187">
        <f>'P103'!$AP24+'P103'!$AQ24</f>
        <v>28.8538</v>
      </c>
    </row>
    <row r="25" ht="14.25" customHeight="1">
      <c r="A25" s="188" t="s">
        <v>296</v>
      </c>
      <c r="B25" s="189">
        <v>2.02111167E8</v>
      </c>
      <c r="C25" s="190" t="s">
        <v>297</v>
      </c>
      <c r="D25" s="191">
        <v>5.0</v>
      </c>
      <c r="E25" s="49"/>
      <c r="F25" s="51">
        <v>0.0</v>
      </c>
      <c r="G25" s="51">
        <v>0.0</v>
      </c>
      <c r="H25" s="185">
        <v>0.0</v>
      </c>
      <c r="I25" s="52">
        <v>0.0</v>
      </c>
      <c r="J25" s="53">
        <v>0.0</v>
      </c>
      <c r="K25" s="54">
        <v>0.0</v>
      </c>
      <c r="L25" s="55">
        <f>IF(I25&lt;1.79,SUM(I25:J25), SUM('P103'!$Q25:$S25))</f>
        <v>0</v>
      </c>
      <c r="M25" s="52">
        <v>0.0</v>
      </c>
      <c r="N25" s="53">
        <v>0.0</v>
      </c>
      <c r="O25" s="54">
        <v>0.0</v>
      </c>
      <c r="P25" s="55">
        <f>IF(M25&lt;1.79,SUM(M25:N25), SUM('P103'!$Q25:$S25))</f>
        <v>0</v>
      </c>
      <c r="Q25" s="52">
        <v>0.0</v>
      </c>
      <c r="R25" s="53">
        <v>0.0</v>
      </c>
      <c r="S25" s="54">
        <v>0.0</v>
      </c>
      <c r="T25" s="55">
        <f>IF(Q25&lt;1.79,SUM(Q25:R25), SUM('P103'!$Q25:$S25))</f>
        <v>0</v>
      </c>
      <c r="U25" s="56">
        <f>('P103'!$L25+'P103'!$P25+'P103'!$T25)*'P103'!$F25</f>
        <v>0</v>
      </c>
      <c r="V25" s="57">
        <v>0.0</v>
      </c>
      <c r="W25" s="57">
        <v>0.0</v>
      </c>
      <c r="X25" s="58">
        <f>SUM('P103'!$V25:$W25)*'P103'!$G25</f>
        <v>0</v>
      </c>
      <c r="Y25" s="59">
        <v>0.0</v>
      </c>
      <c r="Z25" s="59">
        <v>0.0</v>
      </c>
      <c r="AA25" s="59">
        <v>0.0</v>
      </c>
      <c r="AB25" s="60" t="str">
        <f>IF(SUM('P103'!$Y25:$AA25)&gt;5.9,"SI","NO")</f>
        <v>NO</v>
      </c>
      <c r="AC25" s="61">
        <f>SUM('P103'!$Y25:$AA25)</f>
        <v>0</v>
      </c>
      <c r="AD25" s="62">
        <v>0.5</v>
      </c>
      <c r="AE25" s="62">
        <v>4.5</v>
      </c>
      <c r="AF25" s="63" t="str">
        <f>IF('P103'!$AG25&gt;5.9,"SI","NO")</f>
        <v>NO</v>
      </c>
      <c r="AG25" s="64">
        <f>SUM('P103'!$AD25:$AE25)</f>
        <v>5</v>
      </c>
      <c r="AH25" s="141">
        <f>IF('P103'!$AF25="NO",0," ")</f>
        <v>0</v>
      </c>
      <c r="AI25" s="141">
        <f>IF('P103'!$AF25="NO",0," ")</f>
        <v>0</v>
      </c>
      <c r="AJ25" s="66">
        <f>AVERAGE('P103'!$AH25:$AI25)*'P103'!$H25</f>
        <v>0</v>
      </c>
      <c r="AK25" s="142">
        <v>0.0</v>
      </c>
      <c r="AL25" s="143">
        <v>0.0</v>
      </c>
      <c r="AM25" s="143">
        <v>0.0</v>
      </c>
      <c r="AN25" s="46">
        <f>(1*('P103'!$AL25+'P103'!$AM25))*'P103'!$AK25</f>
        <v>0</v>
      </c>
      <c r="AO25" s="70">
        <v>0.0</v>
      </c>
      <c r="AP25" s="71">
        <f>SUM('P103'!$U25)</f>
        <v>0</v>
      </c>
      <c r="AQ25" s="71">
        <f>SUM(AN25,AJ25,AG25,AC25,X25,('P103'!$AO25)*H25)</f>
        <v>5</v>
      </c>
      <c r="AR25" s="187">
        <f>'P103'!$AP25+'P103'!$AQ25</f>
        <v>5</v>
      </c>
    </row>
    <row r="26" ht="14.25" customHeight="1">
      <c r="A26" s="181" t="s">
        <v>298</v>
      </c>
      <c r="B26" s="182">
        <v>2.02507307E8</v>
      </c>
      <c r="C26" s="183" t="s">
        <v>299</v>
      </c>
      <c r="D26" s="184">
        <v>7.0</v>
      </c>
      <c r="E26" s="49"/>
      <c r="F26" s="51">
        <v>0.963</v>
      </c>
      <c r="G26" s="51">
        <v>0.923</v>
      </c>
      <c r="H26" s="185">
        <v>0.5</v>
      </c>
      <c r="I26" s="52">
        <v>3.0</v>
      </c>
      <c r="J26" s="53">
        <v>2.0</v>
      </c>
      <c r="K26" s="54">
        <v>2.3</v>
      </c>
      <c r="L26" s="55">
        <f>IF(I26&lt;1.79,SUM(I26:J26), SUM('P103'!$Q26:$S26))</f>
        <v>6.3</v>
      </c>
      <c r="M26" s="52">
        <v>1.5</v>
      </c>
      <c r="N26" s="53">
        <v>2.0</v>
      </c>
      <c r="O26" s="54">
        <v>2.8</v>
      </c>
      <c r="P26" s="55">
        <f>IF(M26&lt;1.79,SUM(M26:N26), SUM('P103'!$Q26:$S26))</f>
        <v>3.5</v>
      </c>
      <c r="Q26" s="52">
        <v>1.5</v>
      </c>
      <c r="R26" s="53">
        <v>2.0</v>
      </c>
      <c r="S26" s="54">
        <v>2.8</v>
      </c>
      <c r="T26" s="55">
        <f>IF(Q26&lt;1.79,SUM(Q26:R26), SUM('P103'!$Q26:$S26))</f>
        <v>3.5</v>
      </c>
      <c r="U26" s="56">
        <f>('P103'!$L26+'P103'!$P26+'P103'!$T26)*'P103'!$F26</f>
        <v>12.8079</v>
      </c>
      <c r="V26" s="57">
        <v>4.8</v>
      </c>
      <c r="W26" s="57">
        <v>7.8</v>
      </c>
      <c r="X26" s="58">
        <f>SUM('P103'!$V26:$W26)*'P103'!$G26</f>
        <v>11.6298</v>
      </c>
      <c r="Y26" s="59">
        <v>1.5</v>
      </c>
      <c r="Z26" s="59">
        <v>3.0</v>
      </c>
      <c r="AA26" s="59">
        <v>5.0</v>
      </c>
      <c r="AB26" s="60" t="str">
        <f>IF(SUM('P103'!$Y26:$AA26)&gt;5.9,"SI","NO")</f>
        <v>SI</v>
      </c>
      <c r="AC26" s="61">
        <f>SUM('P103'!$Y26:$AA26)</f>
        <v>9.5</v>
      </c>
      <c r="AD26" s="62">
        <v>0.75</v>
      </c>
      <c r="AE26" s="62">
        <v>5.5</v>
      </c>
      <c r="AF26" s="63" t="str">
        <f>IF('P103'!$AG26&gt;5.9,"SI","NO")</f>
        <v>SI</v>
      </c>
      <c r="AG26" s="64">
        <f>SUM('P103'!$AD26:$AE26)</f>
        <v>6.25</v>
      </c>
      <c r="AH26" s="65">
        <v>0.0</v>
      </c>
      <c r="AI26" s="65">
        <v>0.0</v>
      </c>
      <c r="AJ26" s="66">
        <f>AVERAGE('P103'!$AH26:$AI26)*'P103'!$H26</f>
        <v>0</v>
      </c>
      <c r="AK26" s="142">
        <v>0.0</v>
      </c>
      <c r="AL26" s="143">
        <v>0.0</v>
      </c>
      <c r="AM26" s="143">
        <v>0.0</v>
      </c>
      <c r="AN26" s="46">
        <f>(1*('P103'!$AL26+'P103'!$AM26))*'P103'!$AK26</f>
        <v>0</v>
      </c>
      <c r="AO26" s="70">
        <v>9.0</v>
      </c>
      <c r="AP26" s="71">
        <f>SUM('P103'!$U26)</f>
        <v>12.8079</v>
      </c>
      <c r="AQ26" s="71">
        <f>SUM(AN26,AJ26,AG26,AC26,X26,('P103'!$AO26)*H26)</f>
        <v>31.8798</v>
      </c>
      <c r="AR26" s="187">
        <f>'P103'!$AP26+'P103'!$AQ26</f>
        <v>44.6877</v>
      </c>
    </row>
    <row r="27" ht="14.25" customHeight="1">
      <c r="A27" s="188" t="s">
        <v>300</v>
      </c>
      <c r="B27" s="189">
        <v>2.02507182E8</v>
      </c>
      <c r="C27" s="190" t="s">
        <v>301</v>
      </c>
      <c r="D27" s="191">
        <v>10.0</v>
      </c>
      <c r="E27" s="49"/>
      <c r="F27" s="51">
        <v>2.063</v>
      </c>
      <c r="G27" s="51">
        <v>2.052</v>
      </c>
      <c r="H27" s="185">
        <v>1.0</v>
      </c>
      <c r="I27" s="52">
        <v>2.25</v>
      </c>
      <c r="J27" s="53">
        <v>2.0</v>
      </c>
      <c r="K27" s="54">
        <v>3.75</v>
      </c>
      <c r="L27" s="55">
        <f>IF(I27&lt;1.79,SUM(I27:J27), SUM('P103'!$Q27:$S27))</f>
        <v>3.83</v>
      </c>
      <c r="M27" s="52">
        <v>1.13</v>
      </c>
      <c r="N27" s="53">
        <v>2.0</v>
      </c>
      <c r="O27" s="54">
        <v>0.7</v>
      </c>
      <c r="P27" s="55">
        <f>IF(M27&lt;1.79,SUM(M27:N27), SUM('P103'!$Q27:$S27))</f>
        <v>3.13</v>
      </c>
      <c r="Q27" s="52">
        <v>1.13</v>
      </c>
      <c r="R27" s="53">
        <v>2.0</v>
      </c>
      <c r="S27" s="54">
        <v>0.7</v>
      </c>
      <c r="T27" s="55">
        <f>IF(Q27&lt;1.79,SUM(Q27:R27), SUM('P103'!$Q27:$S27))</f>
        <v>3.13</v>
      </c>
      <c r="U27" s="56">
        <f>('P103'!$L27+'P103'!$P27+'P103'!$T27)*'P103'!$F27</f>
        <v>20.81567</v>
      </c>
      <c r="V27" s="57">
        <v>0.75</v>
      </c>
      <c r="W27" s="57">
        <v>0.0</v>
      </c>
      <c r="X27" s="58">
        <f>SUM('P103'!$V27:$W27)*'P103'!$G27</f>
        <v>1.539</v>
      </c>
      <c r="Y27" s="59">
        <v>1.5</v>
      </c>
      <c r="Z27" s="59">
        <v>0.0</v>
      </c>
      <c r="AA27" s="59">
        <v>0.0</v>
      </c>
      <c r="AB27" s="60" t="str">
        <f>IF(SUM('P103'!$Y27:$AA27)&gt;5.9,"SI","NO")</f>
        <v>NO</v>
      </c>
      <c r="AC27" s="61">
        <f>SUM('P103'!$Y27:$AA27)</f>
        <v>1.5</v>
      </c>
      <c r="AD27" s="62">
        <v>0.5</v>
      </c>
      <c r="AE27" s="62">
        <v>2.0</v>
      </c>
      <c r="AF27" s="63" t="str">
        <f>IF('P103'!$AG27&gt;5.9,"SI","NO")</f>
        <v>NO</v>
      </c>
      <c r="AG27" s="64">
        <f>SUM('P103'!$AD27:$AE27)</f>
        <v>2.5</v>
      </c>
      <c r="AH27" s="141">
        <f>IF('P103'!$AF27="NO",0," ")</f>
        <v>0</v>
      </c>
      <c r="AI27" s="141">
        <f>IF('P103'!$AF27="NO",0," ")</f>
        <v>0</v>
      </c>
      <c r="AJ27" s="66">
        <f>AVERAGE('P103'!$AH27:$AI27)*'P103'!$H27</f>
        <v>0</v>
      </c>
      <c r="AK27" s="142">
        <v>0.0</v>
      </c>
      <c r="AL27" s="143">
        <v>0.0</v>
      </c>
      <c r="AM27" s="143">
        <v>0.0</v>
      </c>
      <c r="AN27" s="46">
        <f>(1*('P103'!$AL27+'P103'!$AM27))*'P103'!$AK27</f>
        <v>0</v>
      </c>
      <c r="AO27" s="70">
        <v>5.0</v>
      </c>
      <c r="AP27" s="71">
        <f>SUM('P103'!$U27)</f>
        <v>20.81567</v>
      </c>
      <c r="AQ27" s="71">
        <f>SUM(AN27,AJ27,AG27,AC27,X27,('P103'!$AO27)*H27)</f>
        <v>10.539</v>
      </c>
      <c r="AR27" s="187">
        <f>'P103'!$AP27+'P103'!$AQ27</f>
        <v>31.35467</v>
      </c>
    </row>
    <row r="28" ht="14.25" customHeight="1">
      <c r="A28" s="181" t="s">
        <v>302</v>
      </c>
      <c r="B28" s="182">
        <v>2.02414157E8</v>
      </c>
      <c r="C28" s="183" t="s">
        <v>303</v>
      </c>
      <c r="D28" s="184">
        <v>5.0</v>
      </c>
      <c r="E28" s="49"/>
      <c r="F28" s="51">
        <v>1.384</v>
      </c>
      <c r="G28" s="51">
        <v>1.376</v>
      </c>
      <c r="H28" s="185">
        <v>0.5</v>
      </c>
      <c r="I28" s="52">
        <v>3.0</v>
      </c>
      <c r="J28" s="53">
        <v>2.0</v>
      </c>
      <c r="K28" s="54">
        <v>3.0</v>
      </c>
      <c r="L28" s="55">
        <f>IF(I28&lt;1.79,SUM(I28:J28), SUM('P103'!$Q28:$S28))</f>
        <v>7.45</v>
      </c>
      <c r="M28" s="52">
        <v>2.25</v>
      </c>
      <c r="N28" s="53">
        <v>2.0</v>
      </c>
      <c r="O28" s="54">
        <v>3.2</v>
      </c>
      <c r="P28" s="55">
        <f>IF(M28&lt;1.79,SUM(M28:N28), SUM('P103'!$Q28:$S28))</f>
        <v>7.45</v>
      </c>
      <c r="Q28" s="52">
        <v>2.25</v>
      </c>
      <c r="R28" s="53">
        <v>2.0</v>
      </c>
      <c r="S28" s="54">
        <v>3.2</v>
      </c>
      <c r="T28" s="55">
        <f>IF(Q28&lt;1.79,SUM(Q28:R28), SUM('P103'!$Q28:$S28))</f>
        <v>7.45</v>
      </c>
      <c r="U28" s="56">
        <f>('P103'!$L28+'P103'!$P28+'P103'!$T28)*'P103'!$F28</f>
        <v>30.9324</v>
      </c>
      <c r="V28" s="57">
        <v>3.8</v>
      </c>
      <c r="W28" s="57">
        <v>8.1</v>
      </c>
      <c r="X28" s="58">
        <f>SUM('P103'!$V28:$W28)*'P103'!$G28</f>
        <v>16.3744</v>
      </c>
      <c r="Y28" s="59">
        <v>1.5</v>
      </c>
      <c r="Z28" s="59">
        <v>0.0</v>
      </c>
      <c r="AA28" s="59">
        <v>0.0</v>
      </c>
      <c r="AB28" s="60" t="str">
        <f>IF(SUM('P103'!$Y28:$AA28)&gt;5.9,"SI","NO")</f>
        <v>NO</v>
      </c>
      <c r="AC28" s="61">
        <f>SUM('P103'!$Y28:$AA28)</f>
        <v>1.5</v>
      </c>
      <c r="AD28" s="62">
        <v>0.5</v>
      </c>
      <c r="AE28" s="62">
        <v>4.5</v>
      </c>
      <c r="AF28" s="63" t="str">
        <f>IF('P103'!$AG28&gt;5.9,"SI","NO")</f>
        <v>NO</v>
      </c>
      <c r="AG28" s="64">
        <f>SUM('P103'!$AD28:$AE28)</f>
        <v>5</v>
      </c>
      <c r="AH28" s="141">
        <f>IF('P103'!$AF28="NO",0," ")</f>
        <v>0</v>
      </c>
      <c r="AI28" s="141">
        <f>IF('P103'!$AF28="NO",0," ")</f>
        <v>0</v>
      </c>
      <c r="AJ28" s="66">
        <f>AVERAGE('P103'!$AH28:$AI28)*'P103'!$H28</f>
        <v>0</v>
      </c>
      <c r="AK28" s="142">
        <v>0.0</v>
      </c>
      <c r="AL28" s="143">
        <v>0.0</v>
      </c>
      <c r="AM28" s="143">
        <v>0.0</v>
      </c>
      <c r="AN28" s="46">
        <f>(1*('P103'!$AL28+'P103'!$AM28))*'P103'!$AK28</f>
        <v>0</v>
      </c>
      <c r="AO28" s="70">
        <v>6.5</v>
      </c>
      <c r="AP28" s="71">
        <f>SUM('P103'!$U28)</f>
        <v>30.9324</v>
      </c>
      <c r="AQ28" s="71">
        <f>SUM(AN28,AJ28,AG28,AC28,X28,('P103'!$AO28)*H28)</f>
        <v>26.1244</v>
      </c>
      <c r="AR28" s="187">
        <f>'P103'!$AP28+'P103'!$AQ28</f>
        <v>57.0568</v>
      </c>
    </row>
    <row r="29" ht="14.25" customHeight="1">
      <c r="A29" s="188" t="s">
        <v>304</v>
      </c>
      <c r="B29" s="189">
        <v>2.02509782E8</v>
      </c>
      <c r="C29" s="190" t="s">
        <v>305</v>
      </c>
      <c r="D29" s="191">
        <v>4.0</v>
      </c>
      <c r="E29" s="49"/>
      <c r="F29" s="51">
        <v>1.026</v>
      </c>
      <c r="G29" s="51">
        <v>1.108</v>
      </c>
      <c r="H29" s="185">
        <v>1.02</v>
      </c>
      <c r="I29" s="52">
        <v>3.0</v>
      </c>
      <c r="J29" s="53">
        <v>2.0</v>
      </c>
      <c r="K29" s="54">
        <v>3.0</v>
      </c>
      <c r="L29" s="55">
        <f>IF(I29&lt;1.79,SUM(I29:J29), SUM('P103'!$Q29:$S29))</f>
        <v>9.05</v>
      </c>
      <c r="M29" s="52">
        <v>3.0</v>
      </c>
      <c r="N29" s="53">
        <v>2.0</v>
      </c>
      <c r="O29" s="54">
        <v>4.05</v>
      </c>
      <c r="P29" s="55">
        <f>IF(M29&lt;1.79,SUM(M29:N29), SUM('P103'!$Q29:$S29))</f>
        <v>9.05</v>
      </c>
      <c r="Q29" s="52">
        <v>3.0</v>
      </c>
      <c r="R29" s="53">
        <v>2.0</v>
      </c>
      <c r="S29" s="54">
        <v>4.05</v>
      </c>
      <c r="T29" s="55">
        <f>IF(Q29&lt;1.79,SUM(Q29:R29), SUM('P103'!$Q29:$S29))</f>
        <v>9.05</v>
      </c>
      <c r="U29" s="56">
        <f>('P103'!$L29+'P103'!$P29+'P103'!$T29)*'P103'!$F29</f>
        <v>27.8559</v>
      </c>
      <c r="V29" s="57">
        <v>2.8</v>
      </c>
      <c r="W29" s="57">
        <v>0.0</v>
      </c>
      <c r="X29" s="58">
        <f>SUM('P103'!$V29:$W29)*'P103'!$G29</f>
        <v>3.1024</v>
      </c>
      <c r="Y29" s="59">
        <v>1.5</v>
      </c>
      <c r="Z29" s="59">
        <v>1.5</v>
      </c>
      <c r="AA29" s="59">
        <v>0.0</v>
      </c>
      <c r="AB29" s="60" t="str">
        <f>IF(SUM('P103'!$Y29:$AA29)&gt;5.9,"SI","NO")</f>
        <v>NO</v>
      </c>
      <c r="AC29" s="61">
        <f>SUM('P103'!$Y29:$AA29)</f>
        <v>3</v>
      </c>
      <c r="AD29" s="62">
        <v>0.5</v>
      </c>
      <c r="AE29" s="62">
        <v>1.5</v>
      </c>
      <c r="AF29" s="63" t="str">
        <f>IF('P103'!$AG29&gt;5.9,"SI","NO")</f>
        <v>NO</v>
      </c>
      <c r="AG29" s="64">
        <f>SUM('P103'!$AD29:$AE29)</f>
        <v>2</v>
      </c>
      <c r="AH29" s="141">
        <f>IF('P103'!$AF29="NO",0," ")</f>
        <v>0</v>
      </c>
      <c r="AI29" s="141">
        <f>IF('P103'!$AF29="NO",0," ")</f>
        <v>0</v>
      </c>
      <c r="AJ29" s="66">
        <f>AVERAGE('P103'!$AH29:$AI29)*'P103'!$H29</f>
        <v>0</v>
      </c>
      <c r="AK29" s="142">
        <v>0.0</v>
      </c>
      <c r="AL29" s="143">
        <v>0.0</v>
      </c>
      <c r="AM29" s="143">
        <v>0.0</v>
      </c>
      <c r="AN29" s="46">
        <f>(1*('P103'!$AL29+'P103'!$AM29))*'P103'!$AK29</f>
        <v>0</v>
      </c>
      <c r="AO29" s="70">
        <v>0.0</v>
      </c>
      <c r="AP29" s="71">
        <f>SUM('P103'!$U29)</f>
        <v>27.8559</v>
      </c>
      <c r="AQ29" s="71">
        <f>SUM(AN29,AJ29,AG29,AC29,X29,('P103'!$AO29)*H29)</f>
        <v>8.1024</v>
      </c>
      <c r="AR29" s="187">
        <f>'P103'!$AP29+'P103'!$AQ29</f>
        <v>35.9583</v>
      </c>
    </row>
    <row r="30" ht="14.25" customHeight="1">
      <c r="A30" s="181" t="s">
        <v>306</v>
      </c>
      <c r="B30" s="182">
        <v>2.02301396E8</v>
      </c>
      <c r="C30" s="183" t="s">
        <v>307</v>
      </c>
      <c r="D30" s="184">
        <v>1.0</v>
      </c>
      <c r="E30" s="49"/>
      <c r="F30" s="51">
        <v>0.0</v>
      </c>
      <c r="G30" s="51">
        <v>0.0</v>
      </c>
      <c r="H30" s="185">
        <v>0.0</v>
      </c>
      <c r="I30" s="52">
        <v>0.0</v>
      </c>
      <c r="J30" s="53">
        <v>0.0</v>
      </c>
      <c r="K30" s="54">
        <v>4.0</v>
      </c>
      <c r="L30" s="55">
        <f>IF(I30&lt;1.79,SUM(I30:J30), SUM('P103'!$Q30:$S30))</f>
        <v>0</v>
      </c>
      <c r="M30" s="52">
        <v>0.0</v>
      </c>
      <c r="N30" s="53">
        <v>0.0</v>
      </c>
      <c r="O30" s="54">
        <v>0.0</v>
      </c>
      <c r="P30" s="55">
        <f>IF(M30&lt;1.79,SUM(M30:N30), SUM('P103'!$Q30:$S30))</f>
        <v>0</v>
      </c>
      <c r="Q30" s="52">
        <v>0.0</v>
      </c>
      <c r="R30" s="53">
        <v>0.0</v>
      </c>
      <c r="S30" s="54">
        <v>0.0</v>
      </c>
      <c r="T30" s="55">
        <f>IF(Q30&lt;1.79,SUM(Q30:R30), SUM('P103'!$Q30:$S30))</f>
        <v>0</v>
      </c>
      <c r="U30" s="56">
        <f>('P103'!$L30+'P103'!$P30+'P103'!$T30)*'P103'!$F30</f>
        <v>0</v>
      </c>
      <c r="V30" s="57">
        <v>0.0</v>
      </c>
      <c r="W30" s="57">
        <v>0.0</v>
      </c>
      <c r="X30" s="58">
        <f>SUM('P103'!$V30:$W30)*'P103'!$G30</f>
        <v>0</v>
      </c>
      <c r="Y30" s="59">
        <v>0.0</v>
      </c>
      <c r="Z30" s="59">
        <v>0.0</v>
      </c>
      <c r="AA30" s="59">
        <v>0.0</v>
      </c>
      <c r="AB30" s="60" t="str">
        <f>IF(SUM('P103'!$Y30:$AA30)&gt;5.9,"SI","NO")</f>
        <v>NO</v>
      </c>
      <c r="AC30" s="61">
        <f>SUM('P103'!$Y30:$AA30)</f>
        <v>0</v>
      </c>
      <c r="AD30" s="62">
        <v>0.5</v>
      </c>
      <c r="AE30" s="62">
        <v>0.0</v>
      </c>
      <c r="AF30" s="63" t="str">
        <f>IF('P103'!$AG30&gt;5.9,"SI","NO")</f>
        <v>NO</v>
      </c>
      <c r="AG30" s="64">
        <f>SUM('P103'!$AD30:$AE30)</f>
        <v>0.5</v>
      </c>
      <c r="AH30" s="141">
        <f>IF('P103'!$AF30="NO",0," ")</f>
        <v>0</v>
      </c>
      <c r="AI30" s="141">
        <f>IF('P103'!$AF30="NO",0," ")</f>
        <v>0</v>
      </c>
      <c r="AJ30" s="66">
        <f>AVERAGE('P103'!$AH30:$AI30)*'P103'!$H30</f>
        <v>0</v>
      </c>
      <c r="AK30" s="142">
        <v>0.0</v>
      </c>
      <c r="AL30" s="143">
        <v>0.0</v>
      </c>
      <c r="AM30" s="143">
        <v>0.0</v>
      </c>
      <c r="AN30" s="46">
        <f>(1*('P103'!$AL30+'P103'!$AM30))*'P103'!$AK30</f>
        <v>0</v>
      </c>
      <c r="AO30" s="70">
        <v>6.5</v>
      </c>
      <c r="AP30" s="71">
        <f>SUM('P103'!$U30)</f>
        <v>0</v>
      </c>
      <c r="AQ30" s="71">
        <f>SUM(AN30,AJ30,AG30,AC30,X30,('P103'!$AO30)*H30)</f>
        <v>0.5</v>
      </c>
      <c r="AR30" s="187">
        <f>'P103'!$AP30+'P103'!$AQ30</f>
        <v>0.5</v>
      </c>
    </row>
    <row r="31" ht="14.25" customHeight="1">
      <c r="A31" s="188" t="s">
        <v>308</v>
      </c>
      <c r="B31" s="189">
        <v>2.02507174E8</v>
      </c>
      <c r="C31" s="190" t="s">
        <v>309</v>
      </c>
      <c r="D31" s="191">
        <v>8.0</v>
      </c>
      <c r="E31" s="49"/>
      <c r="F31" s="51">
        <v>0.923</v>
      </c>
      <c r="G31" s="51">
        <v>0.5</v>
      </c>
      <c r="H31" s="185">
        <v>0.952</v>
      </c>
      <c r="I31" s="52">
        <v>2.25</v>
      </c>
      <c r="J31" s="53">
        <v>2.0</v>
      </c>
      <c r="K31" s="54">
        <v>3.35</v>
      </c>
      <c r="L31" s="55">
        <f>IF(I31&lt;1.79,SUM(I31:J31), SUM('P103'!$Q31:$S31))</f>
        <v>6.4</v>
      </c>
      <c r="M31" s="52">
        <v>1.5</v>
      </c>
      <c r="N31" s="53">
        <v>2.0</v>
      </c>
      <c r="O31" s="54">
        <v>2.9</v>
      </c>
      <c r="P31" s="55">
        <f>IF(M31&lt;1.79,SUM(M31:N31), SUM('P103'!$Q31:$S31))</f>
        <v>3.5</v>
      </c>
      <c r="Q31" s="52">
        <v>1.5</v>
      </c>
      <c r="R31" s="53">
        <v>2.0</v>
      </c>
      <c r="S31" s="54">
        <v>2.9</v>
      </c>
      <c r="T31" s="55">
        <f>IF(Q31&lt;1.79,SUM(Q31:R31), SUM('P103'!$Q31:$S31))</f>
        <v>3.5</v>
      </c>
      <c r="U31" s="56">
        <f>('P103'!$L31+'P103'!$P31+'P103'!$T31)*'P103'!$F31</f>
        <v>12.3682</v>
      </c>
      <c r="V31" s="57">
        <v>2.95</v>
      </c>
      <c r="W31" s="57">
        <v>6.4</v>
      </c>
      <c r="X31" s="58">
        <f>SUM('P103'!$V31:$W31)*'P103'!$G31</f>
        <v>4.675</v>
      </c>
      <c r="Y31" s="59">
        <v>1.5</v>
      </c>
      <c r="Z31" s="59">
        <v>1.5</v>
      </c>
      <c r="AA31" s="59">
        <v>5.0</v>
      </c>
      <c r="AB31" s="60" t="str">
        <f>IF(SUM('P103'!$Y31:$AA31)&gt;5.9,"SI","NO")</f>
        <v>SI</v>
      </c>
      <c r="AC31" s="61">
        <f>SUM('P103'!$Y31:$AA31)</f>
        <v>8</v>
      </c>
      <c r="AD31" s="62">
        <v>0.5</v>
      </c>
      <c r="AE31" s="62">
        <v>5.5</v>
      </c>
      <c r="AF31" s="63" t="str">
        <f>IF('P103'!$AG31&gt;5.9,"SI","NO")</f>
        <v>SI</v>
      </c>
      <c r="AG31" s="64">
        <f>SUM('P103'!$AD31:$AE31)</f>
        <v>6</v>
      </c>
      <c r="AH31" s="65">
        <v>4.0</v>
      </c>
      <c r="AI31" s="65">
        <v>4.3</v>
      </c>
      <c r="AJ31" s="66">
        <f>AVERAGE('P103'!$AH31:$AI31)*'P103'!$H31</f>
        <v>3.9508</v>
      </c>
      <c r="AK31" s="142">
        <v>1.0</v>
      </c>
      <c r="AL31" s="68">
        <v>6.5</v>
      </c>
      <c r="AM31" s="69">
        <v>8.5</v>
      </c>
      <c r="AN31" s="46">
        <f>(1*('P103'!$AL31+'P103'!$AM31))*'P103'!$AK31</f>
        <v>15</v>
      </c>
      <c r="AO31" s="70">
        <v>7.25</v>
      </c>
      <c r="AP31" s="71">
        <f>SUM('P103'!$U31)</f>
        <v>12.3682</v>
      </c>
      <c r="AQ31" s="71">
        <f>SUM(AN31,AJ31,AG31,AC31,X31,('P103'!$AO31)*H31)</f>
        <v>44.5278</v>
      </c>
      <c r="AR31" s="187">
        <f>'P103'!$AP31+'P103'!$AQ31</f>
        <v>56.896</v>
      </c>
    </row>
    <row r="32" ht="14.25" customHeight="1">
      <c r="A32" s="181" t="s">
        <v>310</v>
      </c>
      <c r="B32" s="182">
        <v>2.02509162E8</v>
      </c>
      <c r="C32" s="183" t="s">
        <v>311</v>
      </c>
      <c r="D32" s="184">
        <v>2.0</v>
      </c>
      <c r="E32" s="49"/>
      <c r="F32" s="51">
        <v>0.937</v>
      </c>
      <c r="G32" s="51">
        <v>0.975</v>
      </c>
      <c r="H32" s="185">
        <v>0.5</v>
      </c>
      <c r="I32" s="52">
        <v>3.0</v>
      </c>
      <c r="J32" s="53">
        <v>2.0</v>
      </c>
      <c r="K32" s="54">
        <v>4.0</v>
      </c>
      <c r="L32" s="55">
        <f>IF(I32&lt;1.79,SUM(I32:J32), SUM('P103'!$Q32:$S32))</f>
        <v>3.5</v>
      </c>
      <c r="M32" s="52">
        <v>1.5</v>
      </c>
      <c r="N32" s="53">
        <v>2.0</v>
      </c>
      <c r="O32" s="54">
        <v>0.0</v>
      </c>
      <c r="P32" s="55">
        <f>IF(M32&lt;1.79,SUM(M32:N32), SUM('P103'!$Q32:$S32))</f>
        <v>3.5</v>
      </c>
      <c r="Q32" s="52">
        <v>1.5</v>
      </c>
      <c r="R32" s="53">
        <v>2.0</v>
      </c>
      <c r="S32" s="54">
        <v>0.0</v>
      </c>
      <c r="T32" s="55">
        <f>IF(Q32&lt;1.79,SUM(Q32:R32), SUM('P103'!$Q32:$S32))</f>
        <v>3.5</v>
      </c>
      <c r="U32" s="56">
        <f>('P103'!$L32+'P103'!$P32+'P103'!$T32)*'P103'!$F32</f>
        <v>9.8385</v>
      </c>
      <c r="V32" s="57">
        <v>3.3</v>
      </c>
      <c r="W32" s="57">
        <v>6.9</v>
      </c>
      <c r="X32" s="58">
        <f>SUM('P103'!$V32:$W32)*'P103'!$G32</f>
        <v>9.945</v>
      </c>
      <c r="Y32" s="80">
        <v>2.0</v>
      </c>
      <c r="Z32" s="59">
        <v>0.0</v>
      </c>
      <c r="AA32" s="59">
        <v>1.25</v>
      </c>
      <c r="AB32" s="60" t="str">
        <f>IF(SUM('P103'!$Z32:$AA32)&gt;5.9,"SI","NO")</f>
        <v>NO</v>
      </c>
      <c r="AC32" s="61">
        <f>SUM('P103'!$Y32:$AA32)</f>
        <v>3.25</v>
      </c>
      <c r="AD32" s="62">
        <v>0.5</v>
      </c>
      <c r="AE32" s="62">
        <v>3.5</v>
      </c>
      <c r="AF32" s="63" t="str">
        <f>IF('P103'!$AG32&gt;5.9,"SI","NO")</f>
        <v>NO</v>
      </c>
      <c r="AG32" s="64">
        <f>SUM('P103'!$AD32:$AE32)</f>
        <v>4</v>
      </c>
      <c r="AH32" s="141">
        <f>IF('P103'!$AF32="NO",0," ")</f>
        <v>0</v>
      </c>
      <c r="AI32" s="141">
        <f>IF('P103'!$AF32="NO",0," ")</f>
        <v>0</v>
      </c>
      <c r="AJ32" s="66">
        <f>AVERAGE('P103'!$AH32:$AI32)*'P103'!$H32</f>
        <v>0</v>
      </c>
      <c r="AK32" s="142">
        <v>0.0</v>
      </c>
      <c r="AL32" s="143">
        <v>0.0</v>
      </c>
      <c r="AM32" s="143">
        <v>0.0</v>
      </c>
      <c r="AN32" s="46">
        <f>(1*('P103'!$AL32+'P103'!$AM32))*'P103'!$AK32</f>
        <v>0</v>
      </c>
      <c r="AO32" s="70">
        <v>0.0</v>
      </c>
      <c r="AP32" s="71">
        <f>SUM('P103'!$U32)</f>
        <v>9.8385</v>
      </c>
      <c r="AQ32" s="71">
        <f>SUM(AN32,AJ32,AG32,AC32,X32,('P103'!$AO32)*H32)</f>
        <v>17.195</v>
      </c>
      <c r="AR32" s="187">
        <f>'P103'!$AP32+'P103'!$AQ32</f>
        <v>27.0335</v>
      </c>
    </row>
    <row r="33" ht="14.25" customHeight="1">
      <c r="A33" s="188" t="s">
        <v>312</v>
      </c>
      <c r="B33" s="189">
        <v>2.02413431E8</v>
      </c>
      <c r="C33" s="190" t="s">
        <v>313</v>
      </c>
      <c r="D33" s="191">
        <v>1.0</v>
      </c>
      <c r="E33" s="49"/>
      <c r="F33" s="51">
        <v>1.202</v>
      </c>
      <c r="G33" s="51">
        <v>1.232</v>
      </c>
      <c r="H33" s="185">
        <v>1.246</v>
      </c>
      <c r="I33" s="52">
        <v>0.0</v>
      </c>
      <c r="J33" s="53">
        <v>2.0</v>
      </c>
      <c r="K33" s="54">
        <v>4.0</v>
      </c>
      <c r="L33" s="55">
        <f>IF(I33&lt;1.79,SUM(I33:J33), SUM('P103'!$Q33:$S33))</f>
        <v>2</v>
      </c>
      <c r="M33" s="52">
        <v>1.5</v>
      </c>
      <c r="N33" s="53">
        <v>2.0</v>
      </c>
      <c r="O33" s="54">
        <v>0.0</v>
      </c>
      <c r="P33" s="55">
        <f>IF(M33&lt;1.79,SUM(M33:N33), SUM('P103'!$Q33:$S33))</f>
        <v>3.5</v>
      </c>
      <c r="Q33" s="52">
        <v>1.5</v>
      </c>
      <c r="R33" s="53">
        <v>2.0</v>
      </c>
      <c r="S33" s="54">
        <v>0.0</v>
      </c>
      <c r="T33" s="55">
        <f>IF(Q33&lt;1.79,SUM(Q33:R33), SUM('P103'!$Q33:$S33))</f>
        <v>3.5</v>
      </c>
      <c r="U33" s="56">
        <f>('P103'!$L33+'P103'!$P33+'P103'!$T33)*'P103'!$F33</f>
        <v>10.818</v>
      </c>
      <c r="V33" s="57">
        <v>2.9</v>
      </c>
      <c r="W33" s="57">
        <v>7.1</v>
      </c>
      <c r="X33" s="58">
        <f>SUM('P103'!$V33:$W33)*'P103'!$G33</f>
        <v>12.32</v>
      </c>
      <c r="Y33" s="59">
        <v>2.0</v>
      </c>
      <c r="Z33" s="59">
        <v>0.0</v>
      </c>
      <c r="AA33" s="59">
        <v>2.5</v>
      </c>
      <c r="AB33" s="60" t="str">
        <f>IF(SUM('P103'!$Y33:$AA33)&gt;5.9,"SI","NO")</f>
        <v>NO</v>
      </c>
      <c r="AC33" s="61">
        <f>SUM('P103'!$Y33:$AA33)</f>
        <v>4.5</v>
      </c>
      <c r="AD33" s="62">
        <v>0.5</v>
      </c>
      <c r="AE33" s="62">
        <v>4.0</v>
      </c>
      <c r="AF33" s="63" t="str">
        <f>IF('P103'!$AG33&gt;5.9,"SI","NO")</f>
        <v>NO</v>
      </c>
      <c r="AG33" s="64">
        <f>SUM('P103'!$AD33:$AE33)</f>
        <v>4.5</v>
      </c>
      <c r="AH33" s="141">
        <f>IF('P103'!$AF33="NO",0," ")</f>
        <v>0</v>
      </c>
      <c r="AI33" s="141">
        <f>IF('P103'!$AF33="NO",0," ")</f>
        <v>0</v>
      </c>
      <c r="AJ33" s="66">
        <f>AVERAGE('P103'!$AH33:$AI33)*'P103'!$H33</f>
        <v>0</v>
      </c>
      <c r="AK33" s="142">
        <v>0.0</v>
      </c>
      <c r="AL33" s="143">
        <v>0.0</v>
      </c>
      <c r="AM33" s="143">
        <v>0.0</v>
      </c>
      <c r="AN33" s="46">
        <f>(1*('P103'!$AL33+'P103'!$AM33))*'P103'!$AK33</f>
        <v>0</v>
      </c>
      <c r="AO33" s="70">
        <v>6.5</v>
      </c>
      <c r="AP33" s="71">
        <f>SUM('P103'!$U33)</f>
        <v>10.818</v>
      </c>
      <c r="AQ33" s="71">
        <f>SUM(AN33,AJ33,AG33,AC33,X33,('P103'!$AO33)*H33)</f>
        <v>29.419</v>
      </c>
      <c r="AR33" s="187">
        <f>'P103'!$AP33+'P103'!$AQ33</f>
        <v>40.237</v>
      </c>
    </row>
    <row r="34" ht="14.25" customHeight="1">
      <c r="A34" s="181" t="s">
        <v>314</v>
      </c>
      <c r="B34" s="182">
        <v>2.02407649E8</v>
      </c>
      <c r="C34" s="183" t="s">
        <v>315</v>
      </c>
      <c r="D34" s="184">
        <v>2.0</v>
      </c>
      <c r="E34" s="49"/>
      <c r="F34" s="51">
        <v>1.135</v>
      </c>
      <c r="G34" s="51">
        <v>1.126</v>
      </c>
      <c r="H34" s="185">
        <v>1.206</v>
      </c>
      <c r="I34" s="52">
        <v>2.25</v>
      </c>
      <c r="J34" s="53">
        <v>2.0</v>
      </c>
      <c r="K34" s="54">
        <v>4.0</v>
      </c>
      <c r="L34" s="55">
        <f>IF(I34&lt;1.79,SUM(I34:J34), SUM('P103'!$Q34:$S34))</f>
        <v>7.68</v>
      </c>
      <c r="M34" s="52">
        <v>1.13</v>
      </c>
      <c r="N34" s="53">
        <v>2.0</v>
      </c>
      <c r="O34" s="54">
        <v>4.55</v>
      </c>
      <c r="P34" s="55">
        <f>IF(M34&lt;1.79,SUM(M34:N34), SUM('P103'!$Q34:$S34))</f>
        <v>3.13</v>
      </c>
      <c r="Q34" s="52">
        <v>1.13</v>
      </c>
      <c r="R34" s="53">
        <v>2.0</v>
      </c>
      <c r="S34" s="54">
        <v>4.55</v>
      </c>
      <c r="T34" s="55">
        <f>IF(Q34&lt;1.79,SUM(Q34:R34), SUM('P103'!$Q34:$S34))</f>
        <v>3.13</v>
      </c>
      <c r="U34" s="56">
        <f>('P103'!$L34+'P103'!$P34+'P103'!$T34)*'P103'!$F34</f>
        <v>15.8219</v>
      </c>
      <c r="V34" s="57">
        <v>3.3</v>
      </c>
      <c r="W34" s="57">
        <v>6.9</v>
      </c>
      <c r="X34" s="58">
        <f>SUM('P103'!$V34:$W34)*'P103'!$G34</f>
        <v>11.4852</v>
      </c>
      <c r="Y34" s="59">
        <v>1.0</v>
      </c>
      <c r="Z34" s="59">
        <v>0.0</v>
      </c>
      <c r="AA34" s="59">
        <v>2.5</v>
      </c>
      <c r="AB34" s="60" t="str">
        <f>IF(SUM('P103'!$Y34:$AA34)&gt;5.9,"SI","NO")</f>
        <v>NO</v>
      </c>
      <c r="AC34" s="61">
        <f>SUM('P103'!$Y34:$AA34)</f>
        <v>3.5</v>
      </c>
      <c r="AD34" s="62">
        <v>0.5</v>
      </c>
      <c r="AE34" s="62">
        <v>3.5</v>
      </c>
      <c r="AF34" s="63" t="str">
        <f>IF('P103'!$AG34&gt;5.9,"SI","NO")</f>
        <v>NO</v>
      </c>
      <c r="AG34" s="64">
        <f>SUM('P103'!$AD34:$AE34)</f>
        <v>4</v>
      </c>
      <c r="AH34" s="141">
        <f>IF('P103'!$AF34="NO",0," ")</f>
        <v>0</v>
      </c>
      <c r="AI34" s="141">
        <f>IF('P103'!$AF34="NO",0," ")</f>
        <v>0</v>
      </c>
      <c r="AJ34" s="66">
        <f>AVERAGE('P103'!$AH34:$AI34)*'P103'!$H34</f>
        <v>0</v>
      </c>
      <c r="AK34" s="142">
        <v>0.0</v>
      </c>
      <c r="AL34" s="143">
        <v>0.0</v>
      </c>
      <c r="AM34" s="143">
        <v>0.0</v>
      </c>
      <c r="AN34" s="46">
        <f>(1*('P103'!$AL34+'P103'!$AM34))*'P103'!$AK34</f>
        <v>0</v>
      </c>
      <c r="AO34" s="70">
        <v>6.5</v>
      </c>
      <c r="AP34" s="71">
        <f>SUM('P103'!$U34)</f>
        <v>15.8219</v>
      </c>
      <c r="AQ34" s="71">
        <f>SUM(AN34,AJ34,AG34,AC34,X34,('P103'!$AO34)*H34)</f>
        <v>26.8242</v>
      </c>
      <c r="AR34" s="187">
        <f>'P103'!$AP34+'P103'!$AQ34</f>
        <v>42.6461</v>
      </c>
    </row>
    <row r="35" ht="14.25" customHeight="1">
      <c r="A35" s="188" t="s">
        <v>316</v>
      </c>
      <c r="B35" s="189">
        <v>2.02413241E8</v>
      </c>
      <c r="C35" s="190" t="s">
        <v>317</v>
      </c>
      <c r="D35" s="191">
        <v>3.0</v>
      </c>
      <c r="E35" s="49"/>
      <c r="F35" s="51">
        <v>1.0</v>
      </c>
      <c r="G35" s="51">
        <v>1.324</v>
      </c>
      <c r="H35" s="185">
        <v>1.284</v>
      </c>
      <c r="I35" s="52">
        <v>3.0</v>
      </c>
      <c r="J35" s="53">
        <v>2.0</v>
      </c>
      <c r="K35" s="54">
        <v>3.0</v>
      </c>
      <c r="L35" s="55">
        <f>IF(I35&lt;1.79,SUM(I35:J35), SUM('P103'!$Q35:$S35))</f>
        <v>8.9</v>
      </c>
      <c r="M35" s="52">
        <v>3.0</v>
      </c>
      <c r="N35" s="53">
        <v>2.0</v>
      </c>
      <c r="O35" s="54">
        <v>3.9</v>
      </c>
      <c r="P35" s="55">
        <f>IF(M35&lt;1.79,SUM(M35:N35), SUM('P103'!$Q35:$S35))</f>
        <v>8.9</v>
      </c>
      <c r="Q35" s="52">
        <v>3.0</v>
      </c>
      <c r="R35" s="53">
        <v>2.0</v>
      </c>
      <c r="S35" s="54">
        <v>3.9</v>
      </c>
      <c r="T35" s="55">
        <f>IF(Q35&lt;1.79,SUM(Q35:R35), SUM('P103'!$Q35:$S35))</f>
        <v>8.9</v>
      </c>
      <c r="U35" s="56">
        <f>('P103'!$L35+'P103'!$P35+'P103'!$T35)*'P103'!$F35</f>
        <v>26.7</v>
      </c>
      <c r="V35" s="57">
        <v>2.6</v>
      </c>
      <c r="W35" s="57">
        <v>5.6</v>
      </c>
      <c r="X35" s="58">
        <f>SUM('P103'!$V35:$W35)*'P103'!$G35</f>
        <v>10.8568</v>
      </c>
      <c r="Y35" s="59">
        <v>1.5</v>
      </c>
      <c r="Z35" s="59">
        <v>1.5</v>
      </c>
      <c r="AA35" s="59">
        <v>3.75</v>
      </c>
      <c r="AB35" s="60" t="str">
        <f>IF(SUM('P103'!$Y35:$AA35)&gt;5.9,"SI","NO")</f>
        <v>SI</v>
      </c>
      <c r="AC35" s="61">
        <f>SUM('P103'!$Y35:$AA35)</f>
        <v>6.75</v>
      </c>
      <c r="AD35" s="62">
        <v>0.5</v>
      </c>
      <c r="AE35" s="62">
        <v>2.0</v>
      </c>
      <c r="AF35" s="63" t="str">
        <f>IF('P103'!$AG35&gt;5.9,"SI","NO")</f>
        <v>NO</v>
      </c>
      <c r="AG35" s="64">
        <f>SUM('P103'!$AD35:$AE35)</f>
        <v>2.5</v>
      </c>
      <c r="AH35" s="141">
        <f>IF('P103'!$AF35="NO",0," ")</f>
        <v>0</v>
      </c>
      <c r="AI35" s="141">
        <f>IF('P103'!$AF35="NO",0," ")</f>
        <v>0</v>
      </c>
      <c r="AJ35" s="66">
        <f>AVERAGE('P103'!$AH35:$AI35)*'P103'!$H35</f>
        <v>0</v>
      </c>
      <c r="AK35" s="142">
        <v>0.0</v>
      </c>
      <c r="AL35" s="143">
        <v>0.0</v>
      </c>
      <c r="AM35" s="143">
        <v>0.0</v>
      </c>
      <c r="AN35" s="46">
        <f>(1*('P103'!$AL35+'P103'!$AM35))*'P103'!$AK35</f>
        <v>0</v>
      </c>
      <c r="AO35" s="70">
        <v>6.5</v>
      </c>
      <c r="AP35" s="71">
        <f>SUM('P103'!$U35)</f>
        <v>26.7</v>
      </c>
      <c r="AQ35" s="71">
        <f>SUM(AN35,AJ35,AG35,AC35,X35,('P103'!$AO35)*H35)</f>
        <v>28.4528</v>
      </c>
      <c r="AR35" s="187">
        <f>'P103'!$AP35+'P103'!$AQ35</f>
        <v>55.1528</v>
      </c>
    </row>
    <row r="36" ht="14.25" customHeight="1">
      <c r="A36" s="181" t="s">
        <v>318</v>
      </c>
      <c r="B36" s="182">
        <v>2.0220398E8</v>
      </c>
      <c r="C36" s="183" t="s">
        <v>319</v>
      </c>
      <c r="D36" s="184">
        <v>6.0</v>
      </c>
      <c r="E36" s="49"/>
      <c r="F36" s="51">
        <v>1.069</v>
      </c>
      <c r="G36" s="51">
        <v>1.024</v>
      </c>
      <c r="H36" s="185">
        <v>1.048</v>
      </c>
      <c r="I36" s="52">
        <v>2.25</v>
      </c>
      <c r="J36" s="53">
        <v>2.0</v>
      </c>
      <c r="K36" s="54">
        <v>4.05</v>
      </c>
      <c r="L36" s="55">
        <f>IF(I36&lt;1.79,SUM(I36:J36), SUM('P103'!$Q36:$S36))</f>
        <v>8.35</v>
      </c>
      <c r="M36" s="52">
        <v>2.25</v>
      </c>
      <c r="N36" s="53">
        <v>2.0</v>
      </c>
      <c r="O36" s="54">
        <v>4.1</v>
      </c>
      <c r="P36" s="55">
        <f>IF(M36&lt;1.79,SUM(M36:N36), SUM('P103'!$Q36:$S36))</f>
        <v>8.35</v>
      </c>
      <c r="Q36" s="52">
        <v>2.25</v>
      </c>
      <c r="R36" s="53">
        <v>2.0</v>
      </c>
      <c r="S36" s="54">
        <v>4.1</v>
      </c>
      <c r="T36" s="55">
        <f>IF(Q36&lt;1.79,SUM(Q36:R36), SUM('P103'!$Q36:$S36))</f>
        <v>8.35</v>
      </c>
      <c r="U36" s="56">
        <f>('P103'!$L36+'P103'!$P36+'P103'!$T36)*'P103'!$F36</f>
        <v>26.77845</v>
      </c>
      <c r="V36" s="57">
        <v>4.3</v>
      </c>
      <c r="W36" s="57">
        <v>7.1</v>
      </c>
      <c r="X36" s="58">
        <f>SUM('P103'!$V36:$W36)*'P103'!$G36</f>
        <v>11.6736</v>
      </c>
      <c r="Y36" s="59">
        <v>1.5</v>
      </c>
      <c r="Z36" s="59">
        <v>0.0</v>
      </c>
      <c r="AA36" s="59">
        <v>1.25</v>
      </c>
      <c r="AB36" s="60" t="str">
        <f>IF(SUM('P103'!$Y36:$AA36)&gt;5.9,"SI","NO")</f>
        <v>NO</v>
      </c>
      <c r="AC36" s="61">
        <f>SUM('P103'!$Y36:$AA36)</f>
        <v>2.75</v>
      </c>
      <c r="AD36" s="62">
        <v>1.0</v>
      </c>
      <c r="AE36" s="62">
        <v>4.5</v>
      </c>
      <c r="AF36" s="63" t="str">
        <f>IF('P103'!$AG36&gt;5.9,"SI","NO")</f>
        <v>NO</v>
      </c>
      <c r="AG36" s="64">
        <f>SUM('P103'!$AD36:$AE36)</f>
        <v>5.5</v>
      </c>
      <c r="AH36" s="65">
        <v>5.0</v>
      </c>
      <c r="AI36" s="65">
        <v>5.0</v>
      </c>
      <c r="AJ36" s="66">
        <f>AVERAGE('P103'!$AH36:$AI36)*'P103'!$H36</f>
        <v>5.24</v>
      </c>
      <c r="AK36" s="142">
        <v>0.0</v>
      </c>
      <c r="AL36" s="143">
        <v>0.0</v>
      </c>
      <c r="AM36" s="143">
        <v>0.0</v>
      </c>
      <c r="AN36" s="46">
        <f>(1*('P103'!$AL36+'P103'!$AM36))*'P103'!$AK36</f>
        <v>0</v>
      </c>
      <c r="AO36" s="70">
        <v>8.0</v>
      </c>
      <c r="AP36" s="71">
        <f>SUM('P103'!$U36)</f>
        <v>26.77845</v>
      </c>
      <c r="AQ36" s="71">
        <f>SUM(AN36,AJ36,AG36,AC36,X36,('P103'!$AO36)*H36)</f>
        <v>33.5476</v>
      </c>
      <c r="AR36" s="187">
        <f>'P103'!$AP36+'P103'!$AQ36</f>
        <v>60.32605</v>
      </c>
    </row>
    <row r="37" ht="14.25" customHeight="1">
      <c r="A37" s="188" t="s">
        <v>320</v>
      </c>
      <c r="B37" s="189">
        <v>2.0191763E8</v>
      </c>
      <c r="C37" s="190" t="s">
        <v>321</v>
      </c>
      <c r="D37" s="191">
        <v>6.0</v>
      </c>
      <c r="E37" s="49"/>
      <c r="F37" s="51">
        <v>0.994</v>
      </c>
      <c r="G37" s="51">
        <v>1.012</v>
      </c>
      <c r="H37" s="185">
        <v>1.012</v>
      </c>
      <c r="I37" s="52">
        <v>3.0</v>
      </c>
      <c r="J37" s="53">
        <v>2.0</v>
      </c>
      <c r="K37" s="54">
        <v>4.05</v>
      </c>
      <c r="L37" s="55">
        <f>IF(I37&lt;1.79,SUM(I37:J37), SUM('P103'!$Q37:$S37))</f>
        <v>9.1</v>
      </c>
      <c r="M37" s="52">
        <v>3.0</v>
      </c>
      <c r="N37" s="53">
        <v>2.0</v>
      </c>
      <c r="O37" s="54">
        <v>4.1</v>
      </c>
      <c r="P37" s="55">
        <f>IF(M37&lt;1.79,SUM(M37:N37), SUM('P103'!$Q37:$S37))</f>
        <v>9.1</v>
      </c>
      <c r="Q37" s="52">
        <v>3.0</v>
      </c>
      <c r="R37" s="53">
        <v>2.0</v>
      </c>
      <c r="S37" s="54">
        <v>4.1</v>
      </c>
      <c r="T37" s="55">
        <f>IF(Q37&lt;1.79,SUM(Q37:R37), SUM('P103'!$Q37:$S37))</f>
        <v>9.1</v>
      </c>
      <c r="U37" s="56">
        <f>('P103'!$L37+'P103'!$P37+'P103'!$T37)*'P103'!$F37</f>
        <v>27.1362</v>
      </c>
      <c r="V37" s="57">
        <v>4.3</v>
      </c>
      <c r="W37" s="57">
        <v>7.1</v>
      </c>
      <c r="X37" s="58">
        <f>SUM('P103'!$V37:$W37)*'P103'!$G37</f>
        <v>11.5368</v>
      </c>
      <c r="Y37" s="59">
        <v>1.5</v>
      </c>
      <c r="Z37" s="59">
        <v>3.0</v>
      </c>
      <c r="AA37" s="59">
        <v>2.5</v>
      </c>
      <c r="AB37" s="60" t="str">
        <f>IF(SUM('P103'!$Y37:$AA37)&gt;5.9,"SI","NO")</f>
        <v>SI</v>
      </c>
      <c r="AC37" s="61">
        <f>SUM('P103'!$Y37:$AA37)</f>
        <v>7</v>
      </c>
      <c r="AD37" s="62">
        <v>1.0</v>
      </c>
      <c r="AE37" s="62">
        <v>4.5</v>
      </c>
      <c r="AF37" s="63" t="str">
        <f>IF('P103'!$AG37&gt;5.9,"SI","NO")</f>
        <v>NO</v>
      </c>
      <c r="AG37" s="64">
        <f>SUM('P103'!$AD37:$AE37)</f>
        <v>5.5</v>
      </c>
      <c r="AH37" s="65">
        <v>5.0</v>
      </c>
      <c r="AI37" s="65">
        <v>5.0</v>
      </c>
      <c r="AJ37" s="66">
        <f>AVERAGE('P103'!$AH37:$AI37)*'P103'!$H37</f>
        <v>5.06</v>
      </c>
      <c r="AK37" s="142">
        <v>1.0</v>
      </c>
      <c r="AL37" s="143">
        <v>6.5</v>
      </c>
      <c r="AM37" s="143">
        <v>6.5</v>
      </c>
      <c r="AN37" s="46">
        <f>(1*('P103'!$AL37+'P103'!$AM37))*'P103'!$AK37</f>
        <v>13</v>
      </c>
      <c r="AO37" s="70">
        <v>8.0</v>
      </c>
      <c r="AP37" s="71">
        <f>SUM('P103'!$U37)</f>
        <v>27.1362</v>
      </c>
      <c r="AQ37" s="71">
        <f>SUM(AN37,AJ37,AG37,AC37,X37,('P103'!$AO37)*H37)</f>
        <v>50.1928</v>
      </c>
      <c r="AR37" s="193">
        <f>'P103'!$AP37+'P103'!$AQ37</f>
        <v>77.329</v>
      </c>
    </row>
    <row r="38" ht="14.25" customHeight="1">
      <c r="A38" s="181" t="s">
        <v>322</v>
      </c>
      <c r="B38" s="182">
        <v>2.02506937E8</v>
      </c>
      <c r="C38" s="183" t="s">
        <v>323</v>
      </c>
      <c r="D38" s="184">
        <v>8.0</v>
      </c>
      <c r="E38" s="49"/>
      <c r="F38" s="51">
        <v>0.917</v>
      </c>
      <c r="G38" s="51">
        <v>0.902</v>
      </c>
      <c r="H38" s="185">
        <v>0.945</v>
      </c>
      <c r="I38" s="52">
        <v>1.5</v>
      </c>
      <c r="J38" s="53">
        <v>2.0</v>
      </c>
      <c r="K38" s="54">
        <v>3.35</v>
      </c>
      <c r="L38" s="55">
        <f>IF(I38&lt;1.79,SUM(I38:J38), SUM('P103'!$Q38:$S38))</f>
        <v>3.5</v>
      </c>
      <c r="M38" s="52">
        <v>3.0</v>
      </c>
      <c r="N38" s="53">
        <v>2.0</v>
      </c>
      <c r="O38" s="54">
        <v>2.9</v>
      </c>
      <c r="P38" s="55">
        <f>IF(M38&lt;1.79,SUM(M38:N38), SUM('P103'!$Q38:$S38))</f>
        <v>7.9</v>
      </c>
      <c r="Q38" s="52">
        <v>3.0</v>
      </c>
      <c r="R38" s="53">
        <v>2.0</v>
      </c>
      <c r="S38" s="54">
        <v>2.9</v>
      </c>
      <c r="T38" s="55">
        <f>IF(Q38&lt;1.79,SUM(Q38:R38), SUM('P103'!$Q38:$S38))</f>
        <v>7.9</v>
      </c>
      <c r="U38" s="56">
        <f>('P103'!$L38+'P103'!$P38+'P103'!$T38)*'P103'!$F38</f>
        <v>17.6981</v>
      </c>
      <c r="V38" s="57">
        <v>2.95</v>
      </c>
      <c r="W38" s="57">
        <v>6.4</v>
      </c>
      <c r="X38" s="58">
        <f>SUM('P103'!$V38:$W38)*'P103'!$G38</f>
        <v>8.4337</v>
      </c>
      <c r="Y38" s="59">
        <v>1.5</v>
      </c>
      <c r="Z38" s="59">
        <v>0.0</v>
      </c>
      <c r="AA38" s="59">
        <v>5.0</v>
      </c>
      <c r="AB38" s="60" t="str">
        <f>IF(SUM('P103'!$Y38:$AA38)&gt;5.9,"SI","NO")</f>
        <v>SI</v>
      </c>
      <c r="AC38" s="61">
        <f>SUM('P103'!$Y38:$AA38)</f>
        <v>6.5</v>
      </c>
      <c r="AD38" s="62">
        <v>0.5</v>
      </c>
      <c r="AE38" s="62">
        <v>5.5</v>
      </c>
      <c r="AF38" s="63" t="str">
        <f>IF('P103'!$AG38&gt;5.9,"SI","NO")</f>
        <v>SI</v>
      </c>
      <c r="AG38" s="64">
        <f>SUM('P103'!$AD38:$AE38)</f>
        <v>6</v>
      </c>
      <c r="AH38" s="65">
        <v>4.0</v>
      </c>
      <c r="AI38" s="65">
        <v>4.3</v>
      </c>
      <c r="AJ38" s="66">
        <f>AVERAGE('P103'!$AH38:$AI38)*'P103'!$H38</f>
        <v>3.92175</v>
      </c>
      <c r="AK38" s="142">
        <v>1.0</v>
      </c>
      <c r="AL38" s="68">
        <v>6.0</v>
      </c>
      <c r="AM38" s="69">
        <v>6.5</v>
      </c>
      <c r="AN38" s="46">
        <f>(1*('P103'!$AL38+'P103'!$AM38))*'P103'!$AK38</f>
        <v>12.5</v>
      </c>
      <c r="AO38" s="70">
        <v>7.25</v>
      </c>
      <c r="AP38" s="71">
        <f>SUM('P103'!$U38)</f>
        <v>17.6981</v>
      </c>
      <c r="AQ38" s="71">
        <f>SUM(AN38,AJ38,AG38,AC38,X38,('P103'!$AO38)*H38)</f>
        <v>44.2067</v>
      </c>
      <c r="AR38" s="187">
        <f>'P103'!$AP38+'P103'!$AQ38</f>
        <v>61.9048</v>
      </c>
    </row>
    <row r="39" ht="14.25" customHeight="1">
      <c r="A39" s="188" t="s">
        <v>324</v>
      </c>
      <c r="B39" s="189">
        <v>2.02509907E8</v>
      </c>
      <c r="C39" s="190" t="s">
        <v>325</v>
      </c>
      <c r="D39" s="191">
        <v>3.0</v>
      </c>
      <c r="E39" s="49"/>
      <c r="F39" s="51">
        <v>0.5</v>
      </c>
      <c r="G39" s="51">
        <v>0.5</v>
      </c>
      <c r="H39" s="185">
        <v>1.004</v>
      </c>
      <c r="I39" s="52">
        <v>2.25</v>
      </c>
      <c r="J39" s="53">
        <v>2.0</v>
      </c>
      <c r="K39" s="54">
        <v>0.0</v>
      </c>
      <c r="L39" s="55">
        <f>IF(I39&lt;1.79,SUM(I39:J39), SUM('P103'!$Q39:$S39))</f>
        <v>2.75</v>
      </c>
      <c r="M39" s="52">
        <v>0.75</v>
      </c>
      <c r="N39" s="53">
        <v>2.0</v>
      </c>
      <c r="O39" s="54">
        <v>0.0</v>
      </c>
      <c r="P39" s="55">
        <f>IF(M39&lt;1.79,SUM(M39:N39), SUM('P103'!$Q39:$S39))</f>
        <v>2.75</v>
      </c>
      <c r="Q39" s="52">
        <v>0.75</v>
      </c>
      <c r="R39" s="53">
        <v>2.0</v>
      </c>
      <c r="S39" s="54">
        <v>0.0</v>
      </c>
      <c r="T39" s="55">
        <f>IF(Q39&lt;1.79,SUM(Q39:R39), SUM('P103'!$Q39:$S39))</f>
        <v>2.75</v>
      </c>
      <c r="U39" s="56">
        <f>('P103'!$L39+'P103'!$P39+'P103'!$T39)*'P103'!$F39</f>
        <v>4.125</v>
      </c>
      <c r="V39" s="57">
        <v>2.6</v>
      </c>
      <c r="W39" s="57">
        <v>5.6</v>
      </c>
      <c r="X39" s="58">
        <f>SUM('P103'!$V39:$W39)*'P103'!$G39</f>
        <v>4.1</v>
      </c>
      <c r="Y39" s="59">
        <v>0.0</v>
      </c>
      <c r="Z39" s="59">
        <v>0.0</v>
      </c>
      <c r="AA39" s="59">
        <v>0.0</v>
      </c>
      <c r="AB39" s="60" t="str">
        <f>IF(SUM('P103'!$Y39:$AA39)&gt;5.9,"SI","NO")</f>
        <v>NO</v>
      </c>
      <c r="AC39" s="61">
        <f>SUM('P103'!$Y39:$AA39)</f>
        <v>0</v>
      </c>
      <c r="AD39" s="62">
        <v>0.5</v>
      </c>
      <c r="AE39" s="62">
        <v>2.0</v>
      </c>
      <c r="AF39" s="63" t="str">
        <f>IF('P103'!$AG39&gt;5.9,"SI","NO")</f>
        <v>NO</v>
      </c>
      <c r="AG39" s="64">
        <f>SUM('P103'!$AD39:$AE39)</f>
        <v>2.5</v>
      </c>
      <c r="AH39" s="141">
        <f>IF('P103'!$AF39="NO",0," ")</f>
        <v>0</v>
      </c>
      <c r="AI39" s="141">
        <f>IF('P103'!$AF39="NO",0," ")</f>
        <v>0</v>
      </c>
      <c r="AJ39" s="66">
        <f>AVERAGE('P103'!$AH39:$AI39)*'P103'!$H39</f>
        <v>0</v>
      </c>
      <c r="AK39" s="142">
        <v>0.0</v>
      </c>
      <c r="AL39" s="143">
        <v>0.0</v>
      </c>
      <c r="AM39" s="143">
        <v>0.0</v>
      </c>
      <c r="AN39" s="46">
        <f>(1*('P103'!$AL39+'P103'!$AM39))*'P103'!$AK39</f>
        <v>0</v>
      </c>
      <c r="AO39" s="70">
        <v>6.5</v>
      </c>
      <c r="AP39" s="71">
        <f>SUM('P103'!$U39)</f>
        <v>4.125</v>
      </c>
      <c r="AQ39" s="71">
        <f>SUM(AN39,AJ39,AG39,AC39,X39,('P103'!$AO39)*H39)</f>
        <v>13.126</v>
      </c>
      <c r="AR39" s="187">
        <f>'P103'!$AP39+'P103'!$AQ39</f>
        <v>17.251</v>
      </c>
    </row>
    <row r="40" ht="14.25" customHeight="1">
      <c r="A40" s="181" t="s">
        <v>326</v>
      </c>
      <c r="B40" s="182">
        <v>2.02507778E8</v>
      </c>
      <c r="C40" s="183" t="s">
        <v>327</v>
      </c>
      <c r="D40" s="184">
        <v>4.0</v>
      </c>
      <c r="E40" s="49"/>
      <c r="F40" s="51">
        <v>1.021</v>
      </c>
      <c r="G40" s="51">
        <v>1.168</v>
      </c>
      <c r="H40" s="185">
        <v>1.062</v>
      </c>
      <c r="I40" s="52">
        <v>1.5</v>
      </c>
      <c r="J40" s="53">
        <v>2.0</v>
      </c>
      <c r="K40" s="54">
        <v>3.0</v>
      </c>
      <c r="L40" s="55">
        <f>IF(I40&lt;1.79,SUM(I40:J40), SUM('P103'!$Q40:$S40))</f>
        <v>3.5</v>
      </c>
      <c r="M40" s="52">
        <v>2.25</v>
      </c>
      <c r="N40" s="53">
        <v>2.0</v>
      </c>
      <c r="O40" s="54">
        <v>4.05</v>
      </c>
      <c r="P40" s="55">
        <f>IF(M40&lt;1.79,SUM(M40:N40), SUM('P103'!$Q40:$S40))</f>
        <v>8.3</v>
      </c>
      <c r="Q40" s="52">
        <v>2.25</v>
      </c>
      <c r="R40" s="53">
        <v>2.0</v>
      </c>
      <c r="S40" s="54">
        <v>4.05</v>
      </c>
      <c r="T40" s="55">
        <f>IF(Q40&lt;1.79,SUM(Q40:R40), SUM('P103'!$Q40:$S40))</f>
        <v>8.3</v>
      </c>
      <c r="U40" s="56">
        <f>('P103'!$L40+'P103'!$P40+'P103'!$T40)*'P103'!$F40</f>
        <v>20.5221</v>
      </c>
      <c r="V40" s="57">
        <v>2.8</v>
      </c>
      <c r="W40" s="57">
        <v>0.0</v>
      </c>
      <c r="X40" s="58">
        <f>SUM('P103'!$V40:$W40)*'P103'!$G40</f>
        <v>3.2704</v>
      </c>
      <c r="Y40" s="59">
        <v>1.5</v>
      </c>
      <c r="Z40" s="59">
        <v>0.0</v>
      </c>
      <c r="AA40" s="59">
        <v>1.25</v>
      </c>
      <c r="AB40" s="60" t="str">
        <f>IF(SUM('P103'!$Y40:$AA40)&gt;5.9,"SI","NO")</f>
        <v>NO</v>
      </c>
      <c r="AC40" s="61">
        <f>SUM('P103'!$Y40:$AA40)</f>
        <v>2.75</v>
      </c>
      <c r="AD40" s="62">
        <v>0.5</v>
      </c>
      <c r="AE40" s="62">
        <v>1.5</v>
      </c>
      <c r="AF40" s="63" t="str">
        <f>IF('P103'!$AG40&gt;5.9,"SI","NO")</f>
        <v>NO</v>
      </c>
      <c r="AG40" s="64">
        <f>SUM('P103'!$AD40:$AE40)</f>
        <v>2</v>
      </c>
      <c r="AH40" s="141">
        <f>IF('P103'!$AF40="NO",0," ")</f>
        <v>0</v>
      </c>
      <c r="AI40" s="141">
        <f>IF('P103'!$AF40="NO",0," ")</f>
        <v>0</v>
      </c>
      <c r="AJ40" s="66">
        <f>AVERAGE('P103'!$AH40:$AI40)*'P103'!$H40</f>
        <v>0</v>
      </c>
      <c r="AK40" s="142">
        <v>0.0</v>
      </c>
      <c r="AL40" s="143">
        <v>0.0</v>
      </c>
      <c r="AM40" s="143">
        <v>0.0</v>
      </c>
      <c r="AN40" s="46">
        <f>(1*('P103'!$AL40+'P103'!$AM40))*'P103'!$AK40</f>
        <v>0</v>
      </c>
      <c r="AO40" s="70">
        <v>0.0</v>
      </c>
      <c r="AP40" s="71">
        <f>SUM('P103'!$U40)</f>
        <v>20.5221</v>
      </c>
      <c r="AQ40" s="71">
        <f>SUM(AN40,AJ40,AG40,AC40,X40,('P103'!$AO40)*H40)</f>
        <v>8.0204</v>
      </c>
      <c r="AR40" s="187">
        <f>'P103'!$AP40+'P103'!$AQ40</f>
        <v>28.5425</v>
      </c>
    </row>
    <row r="41" ht="14.25" customHeight="1">
      <c r="A41" s="188" t="s">
        <v>328</v>
      </c>
      <c r="B41" s="189">
        <v>2.02411161E8</v>
      </c>
      <c r="C41" s="190" t="s">
        <v>329</v>
      </c>
      <c r="D41" s="191">
        <v>7.0</v>
      </c>
      <c r="E41" s="49"/>
      <c r="F41" s="51">
        <v>0.957</v>
      </c>
      <c r="G41" s="51">
        <v>0.933</v>
      </c>
      <c r="H41" s="185">
        <v>0.5</v>
      </c>
      <c r="I41" s="52">
        <v>3.0</v>
      </c>
      <c r="J41" s="53">
        <v>2.0</v>
      </c>
      <c r="K41" s="54">
        <v>2.3</v>
      </c>
      <c r="L41" s="55">
        <f>IF(I41&lt;1.79,SUM(I41:J41), SUM('P103'!$Q41:$S41))</f>
        <v>6.3</v>
      </c>
      <c r="M41" s="52">
        <v>1.5</v>
      </c>
      <c r="N41" s="53">
        <v>2.0</v>
      </c>
      <c r="O41" s="54">
        <v>2.8</v>
      </c>
      <c r="P41" s="55">
        <f>IF(M41&lt;1.79,SUM(M41:N41), SUM('P103'!$Q41:$S41))</f>
        <v>3.5</v>
      </c>
      <c r="Q41" s="52">
        <v>1.5</v>
      </c>
      <c r="R41" s="53">
        <v>2.0</v>
      </c>
      <c r="S41" s="54">
        <v>2.8</v>
      </c>
      <c r="T41" s="55">
        <f>IF(Q41&lt;1.79,SUM(Q41:R41), SUM('P103'!$Q41:$S41))</f>
        <v>3.5</v>
      </c>
      <c r="U41" s="56">
        <f>('P103'!$L41+'P103'!$P41+'P103'!$T41)*'P103'!$F41</f>
        <v>12.7281</v>
      </c>
      <c r="V41" s="57">
        <v>4.8</v>
      </c>
      <c r="W41" s="57">
        <v>7.8</v>
      </c>
      <c r="X41" s="58">
        <f>SUM('P103'!$V41:$W41)*'P103'!$G41</f>
        <v>11.7558</v>
      </c>
      <c r="Y41" s="59">
        <v>1.0</v>
      </c>
      <c r="Z41" s="59">
        <v>3.0</v>
      </c>
      <c r="AA41" s="59">
        <v>0.0</v>
      </c>
      <c r="AB41" s="60" t="str">
        <f>IF(SUM('P103'!$Y41:$AA41)&gt;5.9,"SI","NO")</f>
        <v>NO</v>
      </c>
      <c r="AC41" s="61">
        <f>SUM('P103'!$Y41:$AA41)</f>
        <v>4</v>
      </c>
      <c r="AD41" s="62">
        <v>0.75</v>
      </c>
      <c r="AE41" s="62">
        <v>5.5</v>
      </c>
      <c r="AF41" s="63" t="str">
        <f>IF('P103'!$AG41&gt;5.9,"SI","NO")</f>
        <v>SI</v>
      </c>
      <c r="AG41" s="64">
        <f>SUM('P103'!$AD41:$AE41)</f>
        <v>6.25</v>
      </c>
      <c r="AH41" s="65">
        <v>0.0</v>
      </c>
      <c r="AI41" s="65">
        <v>0.0</v>
      </c>
      <c r="AJ41" s="66">
        <f>AVERAGE('P103'!$AH41:$AI41)*'P103'!$H41</f>
        <v>0</v>
      </c>
      <c r="AK41" s="142">
        <v>0.0</v>
      </c>
      <c r="AL41" s="143">
        <v>0.0</v>
      </c>
      <c r="AM41" s="143">
        <v>0.0</v>
      </c>
      <c r="AN41" s="46">
        <f>(1*('P103'!$AL41+'P103'!$AM41))*'P103'!$AK41</f>
        <v>0</v>
      </c>
      <c r="AO41" s="70">
        <v>9.0</v>
      </c>
      <c r="AP41" s="71">
        <f>SUM('P103'!$U41)</f>
        <v>12.7281</v>
      </c>
      <c r="AQ41" s="71">
        <f>SUM(AN41,AJ41,AG41,AC41,X41,('P103'!$AO41)*H41)</f>
        <v>26.5058</v>
      </c>
      <c r="AR41" s="187">
        <f>'P103'!$AP41+'P103'!$AQ41</f>
        <v>39.2339</v>
      </c>
    </row>
    <row r="42" ht="14.25" customHeight="1">
      <c r="A42" s="181" t="s">
        <v>330</v>
      </c>
      <c r="B42" s="182">
        <v>2.0241206E8</v>
      </c>
      <c r="C42" s="183" t="s">
        <v>331</v>
      </c>
      <c r="D42" s="184">
        <v>4.0</v>
      </c>
      <c r="E42" s="49"/>
      <c r="F42" s="51">
        <v>0.974</v>
      </c>
      <c r="G42" s="51">
        <v>0.826</v>
      </c>
      <c r="H42" s="185">
        <v>0.0</v>
      </c>
      <c r="I42" s="52">
        <v>0.75</v>
      </c>
      <c r="J42" s="53">
        <v>2.0</v>
      </c>
      <c r="K42" s="54">
        <v>0.0</v>
      </c>
      <c r="L42" s="55">
        <f>IF(I42&lt;1.79,SUM(I42:J42), SUM('P103'!$Q42:$S42))</f>
        <v>2.75</v>
      </c>
      <c r="M42" s="52">
        <v>0.0</v>
      </c>
      <c r="N42" s="53">
        <v>0.0</v>
      </c>
      <c r="O42" s="54">
        <v>0.0</v>
      </c>
      <c r="P42" s="55">
        <f>IF(M42&lt;1.79,SUM(M42:N42), SUM('P103'!$Q42:$S42))</f>
        <v>0</v>
      </c>
      <c r="Q42" s="52">
        <v>0.0</v>
      </c>
      <c r="R42" s="53">
        <v>0.0</v>
      </c>
      <c r="S42" s="54">
        <v>0.0</v>
      </c>
      <c r="T42" s="55">
        <f>IF(Q42&lt;1.79,SUM(Q42:R42), SUM('P103'!$Q42:$S42))</f>
        <v>0</v>
      </c>
      <c r="U42" s="56">
        <f>('P103'!$L42+'P103'!$P42+'P103'!$T42)*'P103'!$F42</f>
        <v>2.6785</v>
      </c>
      <c r="V42" s="57">
        <v>2.8</v>
      </c>
      <c r="W42" s="57">
        <v>0.0</v>
      </c>
      <c r="X42" s="58">
        <f>SUM('P103'!$V42:$W42)*'P103'!$G42</f>
        <v>2.3128</v>
      </c>
      <c r="Y42" s="59">
        <v>1.5</v>
      </c>
      <c r="Z42" s="59">
        <v>0.0</v>
      </c>
      <c r="AA42" s="59">
        <v>3.75</v>
      </c>
      <c r="AB42" s="60" t="str">
        <f>IF(SUM('P103'!$Y42:$AA42)&gt;5.9,"SI","NO")</f>
        <v>NO</v>
      </c>
      <c r="AC42" s="61">
        <f>SUM('P103'!$Y42:$AA42)</f>
        <v>5.25</v>
      </c>
      <c r="AD42" s="62">
        <v>0.5</v>
      </c>
      <c r="AE42" s="62">
        <v>1.5</v>
      </c>
      <c r="AF42" s="63" t="str">
        <f>IF('P103'!$AG42&gt;5.9,"SI","NO")</f>
        <v>NO</v>
      </c>
      <c r="AG42" s="64">
        <f>SUM('P103'!$AD42:$AE42)</f>
        <v>2</v>
      </c>
      <c r="AH42" s="141">
        <f>IF('P103'!$AF42="NO",0," ")</f>
        <v>0</v>
      </c>
      <c r="AI42" s="141">
        <f>IF('P103'!$AF42="NO",0," ")</f>
        <v>0</v>
      </c>
      <c r="AJ42" s="66">
        <f>AVERAGE('P103'!$AH42:$AI42)*'P103'!$H42</f>
        <v>0</v>
      </c>
      <c r="AK42" s="142">
        <v>0.0</v>
      </c>
      <c r="AL42" s="143">
        <v>0.0</v>
      </c>
      <c r="AM42" s="143">
        <v>0.0</v>
      </c>
      <c r="AN42" s="46">
        <f>(1*('P103'!$AL42+'P103'!$AM42))*'P103'!$AK42</f>
        <v>0</v>
      </c>
      <c r="AO42" s="70">
        <v>0.0</v>
      </c>
      <c r="AP42" s="71">
        <f>SUM('P103'!$U42)</f>
        <v>2.6785</v>
      </c>
      <c r="AQ42" s="71">
        <f>SUM(AN42,AJ42,AG42,AC42,X42,('P103'!$AO42)*H42)</f>
        <v>9.5628</v>
      </c>
      <c r="AR42" s="187">
        <f>'P103'!$AP42+'P103'!$AQ42</f>
        <v>12.2413</v>
      </c>
    </row>
    <row r="43" ht="14.25" customHeight="1">
      <c r="A43" s="188" t="s">
        <v>332</v>
      </c>
      <c r="B43" s="189">
        <v>2.0231127E8</v>
      </c>
      <c r="C43" s="190" t="s">
        <v>333</v>
      </c>
      <c r="D43" s="191">
        <v>8.0</v>
      </c>
      <c r="E43" s="49"/>
      <c r="F43" s="51">
        <v>1.052</v>
      </c>
      <c r="G43" s="51">
        <v>1.056</v>
      </c>
      <c r="H43" s="185">
        <v>1.033</v>
      </c>
      <c r="I43" s="52">
        <v>3.0</v>
      </c>
      <c r="J43" s="53">
        <v>2.0</v>
      </c>
      <c r="K43" s="54">
        <v>3.35</v>
      </c>
      <c r="L43" s="55">
        <f>IF(I43&lt;1.79,SUM(I43:J43), SUM('P103'!$Q43:$S43))</f>
        <v>6.4</v>
      </c>
      <c r="M43" s="52">
        <v>1.5</v>
      </c>
      <c r="N43" s="53">
        <v>2.0</v>
      </c>
      <c r="O43" s="54">
        <v>2.9</v>
      </c>
      <c r="P43" s="55">
        <f>IF(M43&lt;1.79,SUM(M43:N43), SUM('P103'!$Q43:$S43))</f>
        <v>3.5</v>
      </c>
      <c r="Q43" s="52">
        <v>1.5</v>
      </c>
      <c r="R43" s="53">
        <v>2.0</v>
      </c>
      <c r="S43" s="54">
        <v>2.9</v>
      </c>
      <c r="T43" s="55">
        <f>IF(Q43&lt;1.79,SUM(Q43:R43), SUM('P103'!$Q43:$S43))</f>
        <v>3.5</v>
      </c>
      <c r="U43" s="56">
        <f>('P103'!$L43+'P103'!$P43+'P103'!$T43)*'P103'!$F43</f>
        <v>14.0968</v>
      </c>
      <c r="V43" s="57">
        <v>2.95</v>
      </c>
      <c r="W43" s="57">
        <v>6.4</v>
      </c>
      <c r="X43" s="58">
        <f>SUM('P103'!$V43:$W43)*'P103'!$G43</f>
        <v>9.8736</v>
      </c>
      <c r="Y43" s="59">
        <v>1.0</v>
      </c>
      <c r="Z43" s="59">
        <v>1.5</v>
      </c>
      <c r="AA43" s="59">
        <v>0.0</v>
      </c>
      <c r="AB43" s="60" t="str">
        <f>IF(SUM('P103'!$Y43:$AA43)&gt;5.9,"SI","NO")</f>
        <v>NO</v>
      </c>
      <c r="AC43" s="61">
        <f>SUM('P103'!$Y43:$AA43)</f>
        <v>2.5</v>
      </c>
      <c r="AD43" s="62">
        <v>0.5</v>
      </c>
      <c r="AE43" s="62">
        <v>5.5</v>
      </c>
      <c r="AF43" s="63" t="str">
        <f>IF('P103'!$AG43&gt;5.9,"SI","NO")</f>
        <v>SI</v>
      </c>
      <c r="AG43" s="64">
        <f>SUM('P103'!$AD43:$AE43)</f>
        <v>6</v>
      </c>
      <c r="AH43" s="65">
        <v>4.0</v>
      </c>
      <c r="AI43" s="65">
        <v>4.3</v>
      </c>
      <c r="AJ43" s="66">
        <f>AVERAGE('P103'!$AH43:$AI43)*'P103'!$H43</f>
        <v>4.28695</v>
      </c>
      <c r="AK43" s="142">
        <v>1.0</v>
      </c>
      <c r="AL43" s="68">
        <v>0.0</v>
      </c>
      <c r="AM43" s="69">
        <v>0.0</v>
      </c>
      <c r="AN43" s="46">
        <f>(1*('P103'!$AL43+'P103'!$AM43))*'P103'!$AK43</f>
        <v>0</v>
      </c>
      <c r="AO43" s="70">
        <v>7.25</v>
      </c>
      <c r="AP43" s="71">
        <f>SUM('P103'!$U43)</f>
        <v>14.0968</v>
      </c>
      <c r="AQ43" s="71">
        <f>SUM(AN43,AJ43,AG43,AC43,X43,('P103'!$AO43)*H43)</f>
        <v>30.1498</v>
      </c>
      <c r="AR43" s="187">
        <f>'P103'!$AP43+'P103'!$AQ43</f>
        <v>44.2466</v>
      </c>
    </row>
    <row r="44" ht="14.25" customHeight="1">
      <c r="A44" s="181" t="s">
        <v>334</v>
      </c>
      <c r="B44" s="182">
        <v>2.02412904E8</v>
      </c>
      <c r="C44" s="183" t="s">
        <v>335</v>
      </c>
      <c r="D44" s="184">
        <v>9.0</v>
      </c>
      <c r="E44" s="49"/>
      <c r="F44" s="51">
        <v>0.856</v>
      </c>
      <c r="G44" s="51">
        <v>0.716</v>
      </c>
      <c r="H44" s="185">
        <v>0.642</v>
      </c>
      <c r="I44" s="52">
        <v>3.0</v>
      </c>
      <c r="J44" s="53">
        <v>2.0</v>
      </c>
      <c r="K44" s="54">
        <v>3.95</v>
      </c>
      <c r="L44" s="55">
        <f>IF(I44&lt;1.79,SUM(I44:J44), SUM('P103'!$Q44:$S44))</f>
        <v>3.5</v>
      </c>
      <c r="M44" s="52">
        <v>1.5</v>
      </c>
      <c r="N44" s="53">
        <v>2.0</v>
      </c>
      <c r="O44" s="54">
        <v>0.0</v>
      </c>
      <c r="P44" s="55">
        <f>IF(M44&lt;1.79,SUM(M44:N44), SUM('P103'!$Q44:$S44))</f>
        <v>3.5</v>
      </c>
      <c r="Q44" s="52">
        <v>1.5</v>
      </c>
      <c r="R44" s="53">
        <v>2.0</v>
      </c>
      <c r="S44" s="54">
        <v>0.0</v>
      </c>
      <c r="T44" s="55">
        <f>IF(Q44&lt;1.79,SUM(Q44:R44), SUM('P103'!$Q44:$S44))</f>
        <v>3.5</v>
      </c>
      <c r="U44" s="56">
        <f>('P103'!$L44+'P103'!$P44+'P103'!$T44)*'P103'!$F44</f>
        <v>8.988</v>
      </c>
      <c r="V44" s="57">
        <v>4.7</v>
      </c>
      <c r="W44" s="57">
        <v>6.5</v>
      </c>
      <c r="X44" s="58">
        <f>SUM('P103'!$V44:$W44)*'P103'!$G44</f>
        <v>8.0192</v>
      </c>
      <c r="Y44" s="59">
        <v>1.0</v>
      </c>
      <c r="Z44" s="59">
        <v>3.0</v>
      </c>
      <c r="AA44" s="59">
        <v>0.0</v>
      </c>
      <c r="AB44" s="60" t="str">
        <f>IF(SUM('P103'!$Y44:$AA44)&gt;5.9,"SI","NO")</f>
        <v>NO</v>
      </c>
      <c r="AC44" s="61">
        <f>SUM('P103'!$Y44:$AA44)</f>
        <v>4</v>
      </c>
      <c r="AD44" s="62">
        <v>0.0</v>
      </c>
      <c r="AE44" s="62">
        <v>2.0</v>
      </c>
      <c r="AF44" s="63" t="str">
        <f>IF('P103'!$AG44&gt;5.9,"SI","NO")</f>
        <v>NO</v>
      </c>
      <c r="AG44" s="64">
        <f>SUM('P103'!$AD44:$AE44)</f>
        <v>2</v>
      </c>
      <c r="AH44" s="141">
        <f>IF('P103'!$AF44="NO",0," ")</f>
        <v>0</v>
      </c>
      <c r="AI44" s="141">
        <f>IF('P103'!$AF44="NO",0," ")</f>
        <v>0</v>
      </c>
      <c r="AJ44" s="66">
        <f>AVERAGE('P103'!$AH44:$AI44)*'P103'!$H44</f>
        <v>0</v>
      </c>
      <c r="AK44" s="142">
        <v>0.0</v>
      </c>
      <c r="AL44" s="143">
        <v>0.0</v>
      </c>
      <c r="AM44" s="143">
        <v>0.0</v>
      </c>
      <c r="AN44" s="46">
        <f>(1*('P103'!$AL44+'P103'!$AM44))*'P103'!$AK44</f>
        <v>0</v>
      </c>
      <c r="AO44" s="70">
        <v>6.75</v>
      </c>
      <c r="AP44" s="71">
        <f>SUM('P103'!$U44)</f>
        <v>8.988</v>
      </c>
      <c r="AQ44" s="71">
        <f>SUM(AN44,AJ44,AG44,AC44,X44,('P103'!$AO44)*H44)</f>
        <v>18.3527</v>
      </c>
      <c r="AR44" s="187">
        <f>'P103'!$AP44+'P103'!$AQ44</f>
        <v>27.3407</v>
      </c>
    </row>
    <row r="45" ht="14.25" customHeight="1">
      <c r="A45" s="188" t="s">
        <v>336</v>
      </c>
      <c r="B45" s="189">
        <v>2.0240725E8</v>
      </c>
      <c r="C45" s="190" t="s">
        <v>337</v>
      </c>
      <c r="D45" s="191">
        <v>7.0</v>
      </c>
      <c r="E45" s="49"/>
      <c r="F45" s="51">
        <v>1.038</v>
      </c>
      <c r="G45" s="51">
        <v>1.048</v>
      </c>
      <c r="H45" s="185">
        <v>1.141</v>
      </c>
      <c r="I45" s="52">
        <v>3.0</v>
      </c>
      <c r="J45" s="53">
        <v>2.0</v>
      </c>
      <c r="K45" s="54">
        <v>2.3</v>
      </c>
      <c r="L45" s="55">
        <f>IF(I45&lt;1.79,SUM(I45:J45), SUM('P103'!$Q45:$S45))</f>
        <v>7.05</v>
      </c>
      <c r="M45" s="52">
        <v>2.25</v>
      </c>
      <c r="N45" s="53">
        <v>2.0</v>
      </c>
      <c r="O45" s="54">
        <v>2.8</v>
      </c>
      <c r="P45" s="55">
        <f>IF(M45&lt;1.79,SUM(M45:N45), SUM('P103'!$Q45:$S45))</f>
        <v>7.05</v>
      </c>
      <c r="Q45" s="52">
        <v>2.25</v>
      </c>
      <c r="R45" s="53">
        <v>2.0</v>
      </c>
      <c r="S45" s="54">
        <v>2.8</v>
      </c>
      <c r="T45" s="55">
        <f>IF(Q45&lt;1.79,SUM(Q45:R45), SUM('P103'!$Q45:$S45))</f>
        <v>7.05</v>
      </c>
      <c r="U45" s="56">
        <f>('P103'!$L45+'P103'!$P45+'P103'!$T45)*'P103'!$F45</f>
        <v>21.9537</v>
      </c>
      <c r="V45" s="57">
        <v>4.8</v>
      </c>
      <c r="W45" s="57">
        <v>7.8</v>
      </c>
      <c r="X45" s="58">
        <f>SUM('P103'!$V45:$W45)*'P103'!$G45</f>
        <v>13.2048</v>
      </c>
      <c r="Y45" s="59">
        <v>2.0</v>
      </c>
      <c r="Z45" s="59">
        <v>1.5</v>
      </c>
      <c r="AA45" s="59">
        <v>0.0</v>
      </c>
      <c r="AB45" s="60" t="str">
        <f>IF(SUM('P103'!$Y45:$AA45)&gt;5.9,"SI","NO")</f>
        <v>NO</v>
      </c>
      <c r="AC45" s="61">
        <f>SUM('P103'!$Y45:$AA45)</f>
        <v>3.5</v>
      </c>
      <c r="AD45" s="62">
        <v>0.75</v>
      </c>
      <c r="AE45" s="62">
        <v>5.5</v>
      </c>
      <c r="AF45" s="63" t="str">
        <f>IF('P103'!$AG45&gt;5.9,"SI","NO")</f>
        <v>SI</v>
      </c>
      <c r="AG45" s="64">
        <f>SUM('P103'!$AD45:$AE45)</f>
        <v>6.25</v>
      </c>
      <c r="AH45" s="65">
        <v>0.0</v>
      </c>
      <c r="AI45" s="65">
        <v>0.0</v>
      </c>
      <c r="AJ45" s="66">
        <f>AVERAGE('P103'!$AH45:$AI45)*'P103'!$H45</f>
        <v>0</v>
      </c>
      <c r="AK45" s="142">
        <v>0.0</v>
      </c>
      <c r="AL45" s="143">
        <v>0.0</v>
      </c>
      <c r="AM45" s="143">
        <v>0.0</v>
      </c>
      <c r="AN45" s="46">
        <f>(1*('P103'!$AL45+'P103'!$AM45))*'P103'!$AK45</f>
        <v>0</v>
      </c>
      <c r="AO45" s="70">
        <v>9.0</v>
      </c>
      <c r="AP45" s="71">
        <f>SUM('P103'!$U45)</f>
        <v>21.9537</v>
      </c>
      <c r="AQ45" s="71">
        <f>SUM(AN45,AJ45,AG45,AC45,X45,('P103'!$AO45)*H45)</f>
        <v>33.2238</v>
      </c>
      <c r="AR45" s="187">
        <f>'P103'!$AP45+'P103'!$AQ45</f>
        <v>55.1775</v>
      </c>
    </row>
    <row r="46" ht="14.25" customHeight="1">
      <c r="A46" s="181" t="s">
        <v>338</v>
      </c>
      <c r="B46" s="182">
        <v>2.02314175E8</v>
      </c>
      <c r="C46" s="183" t="s">
        <v>339</v>
      </c>
      <c r="D46" s="184">
        <v>2.0</v>
      </c>
      <c r="E46" s="83"/>
      <c r="F46" s="51">
        <v>0.5</v>
      </c>
      <c r="G46" s="51">
        <v>0.5</v>
      </c>
      <c r="H46" s="185">
        <v>0.5</v>
      </c>
      <c r="I46" s="52">
        <v>1.5</v>
      </c>
      <c r="J46" s="53">
        <v>2.0</v>
      </c>
      <c r="K46" s="54">
        <v>4.0</v>
      </c>
      <c r="L46" s="55">
        <f>IF(I46&lt;1.79,SUM(I46:J46), SUM('P103'!$Q46:$S46))</f>
        <v>3.5</v>
      </c>
      <c r="M46" s="52">
        <v>2.25</v>
      </c>
      <c r="N46" s="53">
        <v>2.0</v>
      </c>
      <c r="O46" s="54">
        <v>0.0</v>
      </c>
      <c r="P46" s="55">
        <f>IF(M46&lt;1.79,SUM(M46:N46), SUM('P103'!$Q46:$S46))</f>
        <v>4.25</v>
      </c>
      <c r="Q46" s="52">
        <v>2.25</v>
      </c>
      <c r="R46" s="53">
        <v>2.0</v>
      </c>
      <c r="S46" s="54">
        <v>0.0</v>
      </c>
      <c r="T46" s="55">
        <f>IF(Q46&lt;1.79,SUM(Q46:R46), SUM('P103'!$Q46:$S46))</f>
        <v>4.25</v>
      </c>
      <c r="U46" s="56">
        <f>('P103'!$L46+'P103'!$P46+'P103'!$T46)*'P103'!$F46</f>
        <v>6</v>
      </c>
      <c r="V46" s="57">
        <v>3.3</v>
      </c>
      <c r="W46" s="57">
        <v>6.9</v>
      </c>
      <c r="X46" s="58">
        <f>SUM('P103'!$V46:$W46)*'P103'!$G46</f>
        <v>5.1</v>
      </c>
      <c r="Y46" s="59">
        <v>1.5</v>
      </c>
      <c r="Z46" s="59">
        <v>0.0</v>
      </c>
      <c r="AA46" s="59">
        <v>0.0</v>
      </c>
      <c r="AB46" s="60" t="str">
        <f>IF(SUM('P103'!$Y46:$AA46)&gt;5.9,"SI","NO")</f>
        <v>NO</v>
      </c>
      <c r="AC46" s="61">
        <f>SUM('P103'!$Y46:$AA46)</f>
        <v>1.5</v>
      </c>
      <c r="AD46" s="62">
        <v>0.5</v>
      </c>
      <c r="AE46" s="62">
        <v>3.5</v>
      </c>
      <c r="AF46" s="63" t="str">
        <f>IF('P103'!$AG46&gt;5.9,"SI","NO")</f>
        <v>NO</v>
      </c>
      <c r="AG46" s="64">
        <f>SUM('P103'!$AD46:$AE46)</f>
        <v>4</v>
      </c>
      <c r="AH46" s="141">
        <f>IF('P103'!$AF46="NO",0," ")</f>
        <v>0</v>
      </c>
      <c r="AI46" s="141">
        <f>IF('P103'!$AF46="NO",0," ")</f>
        <v>0</v>
      </c>
      <c r="AJ46" s="66">
        <f>AVERAGE('P103'!$AH46:$AI46)*'P103'!$H46</f>
        <v>0</v>
      </c>
      <c r="AK46" s="142">
        <v>0.0</v>
      </c>
      <c r="AL46" s="143">
        <v>0.0</v>
      </c>
      <c r="AM46" s="143">
        <v>0.0</v>
      </c>
      <c r="AN46" s="46">
        <f>(1*('P103'!$AL46+'P103'!$AM46))*'P103'!$AK46</f>
        <v>0</v>
      </c>
      <c r="AO46" s="70">
        <v>0.0</v>
      </c>
      <c r="AP46" s="71">
        <f>SUM('P103'!$U46)</f>
        <v>6</v>
      </c>
      <c r="AQ46" s="71">
        <f>SUM(AN46,AJ46,AG46,AC46,X46,('P103'!$AO46)*H46)</f>
        <v>10.6</v>
      </c>
      <c r="AR46" s="187">
        <f>'P103'!$AP46+'P103'!$AQ46</f>
        <v>16.6</v>
      </c>
    </row>
    <row r="47" ht="14.25" customHeight="1">
      <c r="A47" s="188" t="s">
        <v>340</v>
      </c>
      <c r="B47" s="189">
        <v>2.02302022E8</v>
      </c>
      <c r="C47" s="190" t="s">
        <v>341</v>
      </c>
      <c r="D47" s="191">
        <v>9.0</v>
      </c>
      <c r="E47" s="83"/>
      <c r="F47" s="51">
        <v>1.064</v>
      </c>
      <c r="G47" s="51">
        <v>1.091</v>
      </c>
      <c r="H47" s="185">
        <v>1.096</v>
      </c>
      <c r="I47" s="52">
        <v>2.25</v>
      </c>
      <c r="J47" s="53">
        <v>2.0</v>
      </c>
      <c r="K47" s="54">
        <v>3.95</v>
      </c>
      <c r="L47" s="55">
        <f>IF(I47&lt;1.79,SUM(I47:J47), SUM('P103'!$Q47:$S47))</f>
        <v>3.5</v>
      </c>
      <c r="M47" s="52">
        <v>1.5</v>
      </c>
      <c r="N47" s="53">
        <v>2.0</v>
      </c>
      <c r="O47" s="54">
        <v>0.0</v>
      </c>
      <c r="P47" s="55">
        <f>IF(M47&lt;1.79,SUM(M47:N47), SUM('P103'!$Q47:$S47))</f>
        <v>3.5</v>
      </c>
      <c r="Q47" s="52">
        <v>1.5</v>
      </c>
      <c r="R47" s="53">
        <v>2.0</v>
      </c>
      <c r="S47" s="54">
        <v>0.0</v>
      </c>
      <c r="T47" s="55">
        <f>IF(Q47&lt;1.79,SUM(Q47:R47), SUM('P103'!$Q47:$S47))</f>
        <v>3.5</v>
      </c>
      <c r="U47" s="56">
        <f>('P103'!$L47+'P103'!$P47+'P103'!$T47)*'P103'!$F47</f>
        <v>11.172</v>
      </c>
      <c r="V47" s="57">
        <v>4.7</v>
      </c>
      <c r="W47" s="57">
        <v>6.5</v>
      </c>
      <c r="X47" s="58">
        <f>SUM('P103'!$V47:$W47)*'P103'!$G47</f>
        <v>12.2192</v>
      </c>
      <c r="Y47" s="59">
        <v>1.5</v>
      </c>
      <c r="Z47" s="59">
        <v>3.0</v>
      </c>
      <c r="AA47" s="59">
        <v>1.25</v>
      </c>
      <c r="AB47" s="60" t="str">
        <f>IF(SUM('P103'!$Y47:$AA47)&gt;5.9,"SI","NO")</f>
        <v>NO</v>
      </c>
      <c r="AC47" s="61">
        <f>SUM('P103'!$Y47:$AA47)</f>
        <v>5.75</v>
      </c>
      <c r="AD47" s="62">
        <v>0.0</v>
      </c>
      <c r="AE47" s="62">
        <v>2.0</v>
      </c>
      <c r="AF47" s="63" t="str">
        <f>IF('P103'!$AG47&gt;5.9,"SI","NO")</f>
        <v>NO</v>
      </c>
      <c r="AG47" s="64">
        <f>SUM('P103'!$AD47:$AE47)</f>
        <v>2</v>
      </c>
      <c r="AH47" s="141">
        <f>IF('P103'!$AF47="NO",0," ")</f>
        <v>0</v>
      </c>
      <c r="AI47" s="141">
        <f>IF('P103'!$AF47="NO",0," ")</f>
        <v>0</v>
      </c>
      <c r="AJ47" s="66">
        <f>AVERAGE('P103'!$AH47:$AI47)*'P103'!$H47</f>
        <v>0</v>
      </c>
      <c r="AK47" s="142">
        <v>0.0</v>
      </c>
      <c r="AL47" s="143">
        <v>0.0</v>
      </c>
      <c r="AM47" s="143">
        <v>0.0</v>
      </c>
      <c r="AN47" s="46">
        <f>(1*('P103'!$AL47+'P103'!$AM47))*'P103'!$AK47</f>
        <v>0</v>
      </c>
      <c r="AO47" s="70">
        <v>6.75</v>
      </c>
      <c r="AP47" s="71">
        <f>SUM('P103'!$U47)</f>
        <v>11.172</v>
      </c>
      <c r="AQ47" s="71">
        <f>SUM(AN47,AJ47,AG47,AC47,X47,('P103'!$AO47)*H47)</f>
        <v>27.3672</v>
      </c>
      <c r="AR47" s="187">
        <f>'P103'!$AP47+'P103'!$AQ47</f>
        <v>38.5392</v>
      </c>
    </row>
    <row r="48" ht="14.25" customHeight="1">
      <c r="A48" s="181" t="s">
        <v>342</v>
      </c>
      <c r="B48" s="182">
        <v>2.0250012E8</v>
      </c>
      <c r="C48" s="183" t="s">
        <v>343</v>
      </c>
      <c r="D48" s="184">
        <v>6.0</v>
      </c>
      <c r="E48" s="83"/>
      <c r="F48" s="51">
        <v>0.913</v>
      </c>
      <c r="G48" s="51">
        <v>0.969</v>
      </c>
      <c r="H48" s="185">
        <v>0.915</v>
      </c>
      <c r="I48" s="52">
        <v>3.0</v>
      </c>
      <c r="J48" s="53">
        <v>2.0</v>
      </c>
      <c r="K48" s="54">
        <v>4.05</v>
      </c>
      <c r="L48" s="55">
        <f>IF(I48&lt;1.79,SUM(I48:J48), SUM('P103'!$Q48:$S48))</f>
        <v>6.85</v>
      </c>
      <c r="M48" s="52">
        <v>0.75</v>
      </c>
      <c r="N48" s="53">
        <v>2.0</v>
      </c>
      <c r="O48" s="194">
        <v>4.1</v>
      </c>
      <c r="P48" s="55">
        <f>IF(M48&lt;1.79,SUM(M48:N48), SUM('P103'!$Q48:$S48))</f>
        <v>2.75</v>
      </c>
      <c r="Q48" s="52">
        <v>0.75</v>
      </c>
      <c r="R48" s="53">
        <v>2.0</v>
      </c>
      <c r="S48" s="194">
        <v>4.1</v>
      </c>
      <c r="T48" s="55">
        <f>IF(Q48&lt;1.79,SUM(Q48:R48), SUM('P103'!$Q48:$S48))</f>
        <v>2.75</v>
      </c>
      <c r="U48" s="56">
        <f>('P103'!$L48+'P103'!$P48+'P103'!$T48)*'P103'!$F48</f>
        <v>11.27555</v>
      </c>
      <c r="V48" s="57">
        <v>4.3</v>
      </c>
      <c r="W48" s="57">
        <v>7.1</v>
      </c>
      <c r="X48" s="58">
        <f>SUM('P103'!$V48:$W48)*'P103'!$G48</f>
        <v>11.0466</v>
      </c>
      <c r="Y48" s="59">
        <v>1.0</v>
      </c>
      <c r="Z48" s="59">
        <v>0.0</v>
      </c>
      <c r="AA48" s="59">
        <v>1.25</v>
      </c>
      <c r="AB48" s="60" t="str">
        <f>IF(SUM('P103'!$Y48:$AA48)&gt;5.9,"SI","NO")</f>
        <v>NO</v>
      </c>
      <c r="AC48" s="61">
        <f>SUM('P103'!$Y48:$AA48)</f>
        <v>2.25</v>
      </c>
      <c r="AD48" s="62">
        <v>1.0</v>
      </c>
      <c r="AE48" s="62">
        <v>4.5</v>
      </c>
      <c r="AF48" s="63" t="str">
        <f>IF('P103'!$AG48&gt;5.9,"SI","NO")</f>
        <v>NO</v>
      </c>
      <c r="AG48" s="64">
        <f>SUM('P103'!$AD48:$AE48)</f>
        <v>5.5</v>
      </c>
      <c r="AH48" s="65">
        <v>5.0</v>
      </c>
      <c r="AI48" s="65">
        <v>5.0</v>
      </c>
      <c r="AJ48" s="66">
        <f>AVERAGE('P103'!$AH48:$AI48)*'P103'!$H48</f>
        <v>4.575</v>
      </c>
      <c r="AK48" s="142">
        <v>0.0</v>
      </c>
      <c r="AL48" s="143">
        <v>0.0</v>
      </c>
      <c r="AM48" s="143">
        <v>0.0</v>
      </c>
      <c r="AN48" s="46">
        <f>(1*('P103'!$AL48+'P103'!$AM48))*'P103'!$AK48</f>
        <v>0</v>
      </c>
      <c r="AO48" s="70">
        <v>8.0</v>
      </c>
      <c r="AP48" s="71">
        <f>SUM('P103'!$U48)</f>
        <v>11.27555</v>
      </c>
      <c r="AQ48" s="71">
        <f>SUM(AN48,AJ48,AG48,AC48,X48,('P103'!$AO48)*H48)</f>
        <v>30.6916</v>
      </c>
      <c r="AR48" s="187">
        <f>'P103'!$AP48+'P103'!$AQ48</f>
        <v>41.96715</v>
      </c>
    </row>
    <row r="49" ht="14.25" customHeight="1">
      <c r="A49" s="188" t="s">
        <v>344</v>
      </c>
      <c r="B49" s="189">
        <v>2.02316923E8</v>
      </c>
      <c r="C49" s="190" t="s">
        <v>345</v>
      </c>
      <c r="D49" s="191">
        <v>9.0</v>
      </c>
      <c r="E49" s="83"/>
      <c r="F49" s="51">
        <v>1.002</v>
      </c>
      <c r="G49" s="51">
        <v>1.039</v>
      </c>
      <c r="H49" s="185">
        <v>0.5</v>
      </c>
      <c r="I49" s="52">
        <v>1.5</v>
      </c>
      <c r="J49" s="53">
        <v>2.0</v>
      </c>
      <c r="K49" s="54">
        <v>3.95</v>
      </c>
      <c r="L49" s="55">
        <f>IF(I49&lt;1.79,SUM(I49:J49), SUM('P103'!$Q49:$S49))</f>
        <v>3.5</v>
      </c>
      <c r="M49" s="52">
        <v>2.25</v>
      </c>
      <c r="N49" s="53">
        <v>2.0</v>
      </c>
      <c r="O49" s="54">
        <v>3.6</v>
      </c>
      <c r="P49" s="55">
        <f>IF(M49&lt;1.79,SUM(M49:N49), SUM('P103'!$Q49:$S49))</f>
        <v>7.85</v>
      </c>
      <c r="Q49" s="52">
        <v>2.25</v>
      </c>
      <c r="R49" s="53">
        <v>2.0</v>
      </c>
      <c r="S49" s="54">
        <v>3.6</v>
      </c>
      <c r="T49" s="55">
        <f>IF(Q49&lt;1.79,SUM(Q49:R49), SUM('P103'!$Q49:$S49))</f>
        <v>7.85</v>
      </c>
      <c r="U49" s="56">
        <f>('P103'!$L49+'P103'!$P49+'P103'!$T49)*'P103'!$F49</f>
        <v>19.2384</v>
      </c>
      <c r="V49" s="57">
        <v>4.7</v>
      </c>
      <c r="W49" s="57">
        <v>6.5</v>
      </c>
      <c r="X49" s="58">
        <f>SUM('P103'!$V49:$W49)*'P103'!$G49</f>
        <v>11.6368</v>
      </c>
      <c r="Y49" s="59">
        <v>0.5</v>
      </c>
      <c r="Z49" s="59">
        <v>0.0</v>
      </c>
      <c r="AA49" s="59">
        <v>1.25</v>
      </c>
      <c r="AB49" s="60" t="str">
        <f>IF(SUM('P103'!$Y49:$AA49)&gt;5.9,"SI","NO")</f>
        <v>NO</v>
      </c>
      <c r="AC49" s="61">
        <f>SUM('P103'!$Y49:$AA49)</f>
        <v>1.75</v>
      </c>
      <c r="AD49" s="62">
        <v>0.0</v>
      </c>
      <c r="AE49" s="62">
        <v>2.0</v>
      </c>
      <c r="AF49" s="63" t="str">
        <f>IF('P103'!$AG49&gt;5.9,"SI","NO")</f>
        <v>NO</v>
      </c>
      <c r="AG49" s="64">
        <f>SUM('P103'!$AD49:$AE49)</f>
        <v>2</v>
      </c>
      <c r="AH49" s="141">
        <f>IF('P103'!$AF49="NO",0," ")</f>
        <v>0</v>
      </c>
      <c r="AI49" s="141">
        <f>IF('P103'!$AF49="NO",0," ")</f>
        <v>0</v>
      </c>
      <c r="AJ49" s="66">
        <f>AVERAGE('P103'!$AH49:$AI49)*'P103'!$H49</f>
        <v>0</v>
      </c>
      <c r="AK49" s="142">
        <v>0.0</v>
      </c>
      <c r="AL49" s="143">
        <v>0.0</v>
      </c>
      <c r="AM49" s="143">
        <v>0.0</v>
      </c>
      <c r="AN49" s="46">
        <f>(1*('P103'!$AL49+'P103'!$AM49))*'P103'!$AK49</f>
        <v>0</v>
      </c>
      <c r="AO49" s="70">
        <v>6.75</v>
      </c>
      <c r="AP49" s="71">
        <f>SUM('P103'!$U49)</f>
        <v>19.2384</v>
      </c>
      <c r="AQ49" s="71">
        <f>SUM(AN49,AJ49,AG49,AC49,X49,('P103'!$AO49)*H49)</f>
        <v>18.7618</v>
      </c>
      <c r="AR49" s="187">
        <f>'P103'!$AP49+'P103'!$AQ49</f>
        <v>38.0002</v>
      </c>
    </row>
    <row r="50" ht="14.25" customHeight="1">
      <c r="A50" s="181" t="s">
        <v>346</v>
      </c>
      <c r="B50" s="182">
        <v>2.02507943E8</v>
      </c>
      <c r="C50" s="183" t="s">
        <v>347</v>
      </c>
      <c r="D50" s="184">
        <v>2.0</v>
      </c>
      <c r="E50" s="83"/>
      <c r="F50" s="51">
        <v>0.5</v>
      </c>
      <c r="G50" s="51">
        <v>0.5</v>
      </c>
      <c r="H50" s="185">
        <v>0.894</v>
      </c>
      <c r="I50" s="52">
        <v>1.5</v>
      </c>
      <c r="J50" s="53">
        <v>2.0</v>
      </c>
      <c r="K50" s="54">
        <v>4.0</v>
      </c>
      <c r="L50" s="55">
        <f>IF(I50&lt;1.79,SUM(I50:J50), SUM('P103'!$Q50:$S50))</f>
        <v>3.5</v>
      </c>
      <c r="M50" s="52">
        <v>2.63</v>
      </c>
      <c r="N50" s="53">
        <v>2.0</v>
      </c>
      <c r="O50" s="54">
        <v>0.0</v>
      </c>
      <c r="P50" s="55">
        <f>IF(M50&lt;1.79,SUM(M50:N50), SUM('P103'!$Q50:$S50))</f>
        <v>4.63</v>
      </c>
      <c r="Q50" s="52">
        <v>2.63</v>
      </c>
      <c r="R50" s="53">
        <v>2.0</v>
      </c>
      <c r="S50" s="54">
        <v>0.0</v>
      </c>
      <c r="T50" s="55">
        <f>IF(Q50&lt;1.79,SUM(Q50:R50), SUM('P103'!$Q50:$S50))</f>
        <v>4.63</v>
      </c>
      <c r="U50" s="56">
        <f>('P103'!$L50+'P103'!$P50+'P103'!$T50)*'P103'!$F50</f>
        <v>6.38</v>
      </c>
      <c r="V50" s="57">
        <v>3.3</v>
      </c>
      <c r="W50" s="57">
        <v>6.9</v>
      </c>
      <c r="X50" s="58">
        <f>SUM('P103'!$V50:$W50)*'P103'!$G50</f>
        <v>5.1</v>
      </c>
      <c r="Y50" s="59">
        <v>1.5</v>
      </c>
      <c r="Z50" s="59">
        <v>0.0</v>
      </c>
      <c r="AA50" s="59">
        <v>0.0</v>
      </c>
      <c r="AB50" s="60" t="str">
        <f>IF(SUM('P103'!$Y50:$AA50)&gt;5.9,"SI","NO")</f>
        <v>NO</v>
      </c>
      <c r="AC50" s="61">
        <f>SUM('P103'!$Y50:$AA50)</f>
        <v>1.5</v>
      </c>
      <c r="AD50" s="62">
        <v>0.5</v>
      </c>
      <c r="AE50" s="62">
        <v>3.5</v>
      </c>
      <c r="AF50" s="63" t="str">
        <f>IF('P103'!$AG50&gt;5.9,"SI","NO")</f>
        <v>NO</v>
      </c>
      <c r="AG50" s="64">
        <f>SUM('P103'!$AD50:$AE50)</f>
        <v>4</v>
      </c>
      <c r="AH50" s="141">
        <f>IF('P103'!$AF50="NO",0," ")</f>
        <v>0</v>
      </c>
      <c r="AI50" s="141">
        <f>IF('P103'!$AF50="NO",0," ")</f>
        <v>0</v>
      </c>
      <c r="AJ50" s="66">
        <f>AVERAGE('P103'!$AH50:$AI50)*'P103'!$H50</f>
        <v>0</v>
      </c>
      <c r="AK50" s="142">
        <v>0.0</v>
      </c>
      <c r="AL50" s="143">
        <v>0.0</v>
      </c>
      <c r="AM50" s="143">
        <v>0.0</v>
      </c>
      <c r="AN50" s="46">
        <f>(1*('P103'!$AL50+'P103'!$AM50))*'P103'!$AK50</f>
        <v>0</v>
      </c>
      <c r="AO50" s="70">
        <v>6.5</v>
      </c>
      <c r="AP50" s="71">
        <f>SUM('P103'!$U50)</f>
        <v>6.38</v>
      </c>
      <c r="AQ50" s="71">
        <f>SUM(AN50,AJ50,AG50,AC50,X50,('P103'!$AO50)*H50)</f>
        <v>16.411</v>
      </c>
      <c r="AR50" s="187">
        <f>'P103'!$AP50+'P103'!$AQ50</f>
        <v>22.791</v>
      </c>
    </row>
    <row r="51" ht="14.25" customHeight="1">
      <c r="A51" s="188" t="s">
        <v>348</v>
      </c>
      <c r="B51" s="189">
        <v>2.02404018E8</v>
      </c>
      <c r="C51" s="190" t="s">
        <v>349</v>
      </c>
      <c r="D51" s="191">
        <v>7.0</v>
      </c>
      <c r="E51" s="191"/>
      <c r="F51" s="51">
        <v>1.033</v>
      </c>
      <c r="G51" s="51">
        <v>1.048</v>
      </c>
      <c r="H51" s="195">
        <v>1.141</v>
      </c>
      <c r="I51" s="52">
        <v>2.25</v>
      </c>
      <c r="J51" s="53">
        <v>2.0</v>
      </c>
      <c r="K51" s="54">
        <v>2.3</v>
      </c>
      <c r="L51" s="55">
        <f>IF(I51&lt;1.79,SUM(I51:J51), SUM('P103'!$Q51:$S51))</f>
        <v>7.8</v>
      </c>
      <c r="M51" s="52">
        <v>3.0</v>
      </c>
      <c r="N51" s="53">
        <v>2.0</v>
      </c>
      <c r="O51" s="54">
        <v>2.8</v>
      </c>
      <c r="P51" s="55">
        <f>IF(M51&lt;1.79,SUM(M51:N51), SUM('P103'!$Q51:$S51))</f>
        <v>7.8</v>
      </c>
      <c r="Q51" s="52">
        <v>3.0</v>
      </c>
      <c r="R51" s="53">
        <v>2.0</v>
      </c>
      <c r="S51" s="54">
        <v>2.8</v>
      </c>
      <c r="T51" s="55">
        <f>IF(Q51&lt;1.79,SUM(Q51:R51), SUM('P103'!$Q51:$S51))</f>
        <v>7.8</v>
      </c>
      <c r="U51" s="56">
        <f>('P103'!$L51+'P103'!$P51+'P103'!$T51)*'P103'!$F51</f>
        <v>24.1722</v>
      </c>
      <c r="V51" s="57">
        <v>4.8</v>
      </c>
      <c r="W51" s="57">
        <v>7.8</v>
      </c>
      <c r="X51" s="58">
        <f>SUM('P103'!$V51:$W51)*'P103'!$G51</f>
        <v>13.2048</v>
      </c>
      <c r="Y51" s="59">
        <v>1.0</v>
      </c>
      <c r="Z51" s="59">
        <v>0.0</v>
      </c>
      <c r="AA51" s="59">
        <v>1.25</v>
      </c>
      <c r="AB51" s="60" t="str">
        <f>IF(SUM('P103'!$Y51:$AA51)&gt;5.9,"SI","NO")</f>
        <v>NO</v>
      </c>
      <c r="AC51" s="61">
        <f>SUM('P103'!$Y51:$AA51)</f>
        <v>2.25</v>
      </c>
      <c r="AD51" s="62">
        <v>0.75</v>
      </c>
      <c r="AE51" s="62">
        <v>5.5</v>
      </c>
      <c r="AF51" s="63" t="str">
        <f>IF('P103'!$AG51&gt;5.9,"SI","NO")</f>
        <v>SI</v>
      </c>
      <c r="AG51" s="64">
        <f>SUM('P103'!$AD51:$AE51)</f>
        <v>6.25</v>
      </c>
      <c r="AH51" s="65">
        <v>0.0</v>
      </c>
      <c r="AI51" s="65">
        <v>0.0</v>
      </c>
      <c r="AJ51" s="66">
        <f>AVERAGE('P103'!$AH51:$AI51)*'P103'!$H51</f>
        <v>0</v>
      </c>
      <c r="AK51" s="142">
        <v>0.0</v>
      </c>
      <c r="AL51" s="143">
        <v>0.0</v>
      </c>
      <c r="AM51" s="143">
        <v>0.0</v>
      </c>
      <c r="AN51" s="46">
        <f>(1*('P103'!$AL51+'P103'!$AM51))*'P103'!$AK51</f>
        <v>0</v>
      </c>
      <c r="AO51" s="70">
        <v>9.0</v>
      </c>
      <c r="AP51" s="71">
        <f>SUM('P103'!$U51)</f>
        <v>24.1722</v>
      </c>
      <c r="AQ51" s="71">
        <f>SUM(AN51,AJ51,AG51,AC51,X51,('P103'!$AO51)*H51)</f>
        <v>31.9738</v>
      </c>
      <c r="AR51" s="187">
        <f>'P103'!$AP51+'P103'!$AQ51</f>
        <v>56.146</v>
      </c>
    </row>
    <row r="52" ht="14.25" customHeight="1">
      <c r="A52" s="196"/>
      <c r="B52" s="197"/>
      <c r="C52" s="198"/>
      <c r="D52" s="199"/>
      <c r="E52" s="199"/>
      <c r="F52" s="108"/>
      <c r="G52" s="108"/>
      <c r="H52" s="200"/>
      <c r="I52" s="159"/>
      <c r="J52" s="109"/>
      <c r="K52" s="160"/>
      <c r="L52" s="110"/>
      <c r="M52" s="159"/>
      <c r="N52" s="109"/>
      <c r="O52" s="160"/>
      <c r="P52" s="110"/>
      <c r="Q52" s="159"/>
      <c r="R52" s="109"/>
      <c r="S52" s="160"/>
      <c r="T52" s="110"/>
      <c r="U52" s="111"/>
      <c r="V52" s="112"/>
      <c r="W52" s="112"/>
      <c r="X52" s="114"/>
      <c r="Y52" s="166"/>
      <c r="Z52" s="166"/>
      <c r="AA52" s="166"/>
      <c r="AB52" s="115"/>
      <c r="AC52" s="116"/>
      <c r="AD52" s="201"/>
      <c r="AE52" s="201"/>
      <c r="AF52" s="117"/>
      <c r="AG52" s="118"/>
      <c r="AH52" s="202"/>
      <c r="AI52" s="202"/>
      <c r="AJ52" s="120"/>
      <c r="AK52" s="203"/>
      <c r="AL52" s="204"/>
      <c r="AM52" s="204"/>
      <c r="AN52" s="121"/>
      <c r="AO52" s="205"/>
      <c r="AP52" s="107"/>
      <c r="AQ52" s="107"/>
      <c r="AR52" s="206">
        <f>AVERAGE(AR4:AR51)</f>
        <v>35.85514083</v>
      </c>
    </row>
    <row r="53" ht="14.25" customHeight="1">
      <c r="AD53" s="207"/>
      <c r="AE53" s="207"/>
    </row>
    <row r="54" ht="14.25" customHeight="1">
      <c r="AD54" s="207"/>
      <c r="AE54" s="207"/>
    </row>
    <row r="55" ht="14.25" customHeight="1">
      <c r="AD55" s="207"/>
      <c r="AE55" s="207"/>
    </row>
    <row r="56" ht="14.25" customHeight="1">
      <c r="AD56" s="207"/>
      <c r="AE56" s="207"/>
    </row>
    <row r="57" ht="14.25" customHeight="1">
      <c r="AD57" s="207"/>
      <c r="AE57" s="207"/>
    </row>
    <row r="58" ht="14.25" customHeight="1">
      <c r="AD58" s="207"/>
      <c r="AE58" s="207"/>
    </row>
    <row r="59" ht="14.25" customHeight="1">
      <c r="AD59" s="207"/>
      <c r="AE59" s="207"/>
    </row>
    <row r="60" ht="14.25" customHeight="1">
      <c r="AD60" s="207"/>
      <c r="AE60" s="207"/>
    </row>
    <row r="61" ht="14.25" customHeight="1">
      <c r="AD61" s="207"/>
      <c r="AE61" s="207"/>
    </row>
    <row r="62" ht="14.25" customHeight="1">
      <c r="AD62" s="207"/>
      <c r="AE62" s="207"/>
    </row>
    <row r="63" ht="14.25" customHeight="1">
      <c r="AD63" s="207"/>
      <c r="AE63" s="207"/>
    </row>
    <row r="64" ht="14.25" customHeight="1">
      <c r="AD64" s="207"/>
      <c r="AE64" s="207"/>
    </row>
    <row r="65" ht="14.25" customHeight="1">
      <c r="AD65" s="207"/>
      <c r="AE65" s="207"/>
    </row>
    <row r="66" ht="14.25" customHeight="1">
      <c r="AD66" s="207"/>
      <c r="AE66" s="207"/>
    </row>
    <row r="67" ht="14.25" customHeight="1">
      <c r="AD67" s="207"/>
      <c r="AE67" s="207"/>
    </row>
    <row r="68" ht="14.25" customHeight="1">
      <c r="AD68" s="207"/>
      <c r="AE68" s="207"/>
    </row>
    <row r="69" ht="14.25" customHeight="1">
      <c r="AD69" s="207"/>
      <c r="AE69" s="207"/>
    </row>
    <row r="70" ht="14.25" customHeight="1">
      <c r="AD70" s="207"/>
      <c r="AE70" s="207"/>
    </row>
    <row r="71" ht="14.25" customHeight="1">
      <c r="AD71" s="207"/>
      <c r="AE71" s="207"/>
    </row>
    <row r="72" ht="14.25" customHeight="1">
      <c r="AD72" s="207"/>
      <c r="AE72" s="207"/>
    </row>
    <row r="73" ht="14.25" customHeight="1">
      <c r="AD73" s="207"/>
      <c r="AE73" s="207"/>
    </row>
    <row r="74" ht="14.25" customHeight="1">
      <c r="AD74" s="207"/>
      <c r="AE74" s="207"/>
    </row>
    <row r="75" ht="14.25" customHeight="1">
      <c r="AD75" s="207"/>
      <c r="AE75" s="207"/>
    </row>
    <row r="76" ht="14.25" customHeight="1">
      <c r="AD76" s="207"/>
      <c r="AE76" s="207"/>
    </row>
    <row r="77" ht="14.25" customHeight="1">
      <c r="AD77" s="207"/>
      <c r="AE77" s="207"/>
    </row>
    <row r="78" ht="14.25" customHeight="1">
      <c r="AD78" s="207"/>
      <c r="AE78" s="207"/>
    </row>
    <row r="79" ht="14.25" customHeight="1">
      <c r="AD79" s="207"/>
      <c r="AE79" s="207"/>
    </row>
    <row r="80" ht="14.25" customHeight="1">
      <c r="AD80" s="207"/>
      <c r="AE80" s="207"/>
    </row>
    <row r="81" ht="14.25" customHeight="1">
      <c r="AD81" s="207"/>
      <c r="AE81" s="207"/>
    </row>
    <row r="82" ht="14.25" customHeight="1">
      <c r="AD82" s="207"/>
      <c r="AE82" s="207"/>
    </row>
    <row r="83" ht="14.25" customHeight="1">
      <c r="AD83" s="207"/>
      <c r="AE83" s="207"/>
    </row>
    <row r="84" ht="14.25" customHeight="1">
      <c r="AD84" s="207"/>
      <c r="AE84" s="207"/>
    </row>
    <row r="85" ht="14.25" customHeight="1">
      <c r="AD85" s="207"/>
      <c r="AE85" s="207"/>
    </row>
    <row r="86" ht="14.25" customHeight="1">
      <c r="AD86" s="207"/>
      <c r="AE86" s="207"/>
    </row>
    <row r="87" ht="14.25" customHeight="1">
      <c r="AD87" s="207"/>
      <c r="AE87" s="207"/>
    </row>
    <row r="88" ht="14.25" customHeight="1">
      <c r="AD88" s="207"/>
      <c r="AE88" s="207"/>
    </row>
    <row r="89" ht="14.25" customHeight="1">
      <c r="AD89" s="207"/>
      <c r="AE89" s="207"/>
    </row>
    <row r="90" ht="14.25" customHeight="1">
      <c r="AD90" s="207"/>
      <c r="AE90" s="207"/>
    </row>
    <row r="91" ht="14.25" customHeight="1">
      <c r="AD91" s="207"/>
      <c r="AE91" s="207"/>
    </row>
    <row r="92" ht="14.25" customHeight="1">
      <c r="AD92" s="207"/>
      <c r="AE92" s="207"/>
    </row>
    <row r="93" ht="14.25" customHeight="1">
      <c r="AD93" s="207"/>
      <c r="AE93" s="207"/>
    </row>
    <row r="94" ht="14.25" customHeight="1">
      <c r="AD94" s="207"/>
      <c r="AE94" s="207"/>
    </row>
    <row r="95" ht="14.25" customHeight="1">
      <c r="AD95" s="207"/>
      <c r="AE95" s="207"/>
    </row>
    <row r="96" ht="14.25" customHeight="1">
      <c r="AD96" s="207"/>
      <c r="AE96" s="207"/>
    </row>
    <row r="97" ht="14.25" customHeight="1">
      <c r="AD97" s="207"/>
      <c r="AE97" s="207"/>
    </row>
    <row r="98" ht="14.25" customHeight="1">
      <c r="AD98" s="207"/>
      <c r="AE98" s="207"/>
    </row>
    <row r="99" ht="14.25" customHeight="1">
      <c r="AD99" s="207"/>
      <c r="AE99" s="207"/>
    </row>
    <row r="100" ht="14.25" customHeight="1">
      <c r="AD100" s="207"/>
      <c r="AE100" s="207"/>
    </row>
    <row r="101" ht="14.25" customHeight="1">
      <c r="AD101" s="207"/>
      <c r="AE101" s="207"/>
    </row>
    <row r="102" ht="14.25" customHeight="1">
      <c r="AD102" s="207"/>
      <c r="AE102" s="207"/>
    </row>
    <row r="103" ht="14.25" customHeight="1">
      <c r="AD103" s="207"/>
      <c r="AE103" s="207"/>
    </row>
    <row r="104" ht="14.25" customHeight="1">
      <c r="AD104" s="207"/>
      <c r="AE104" s="207"/>
    </row>
    <row r="105" ht="14.25" customHeight="1">
      <c r="AD105" s="207"/>
      <c r="AE105" s="207"/>
    </row>
    <row r="106" ht="14.25" customHeight="1">
      <c r="AD106" s="207"/>
      <c r="AE106" s="207"/>
    </row>
    <row r="107" ht="14.25" customHeight="1">
      <c r="AD107" s="207"/>
      <c r="AE107" s="207"/>
    </row>
    <row r="108" ht="14.25" customHeight="1">
      <c r="AD108" s="207"/>
      <c r="AE108" s="207"/>
    </row>
    <row r="109" ht="14.25" customHeight="1">
      <c r="AD109" s="207"/>
      <c r="AE109" s="207"/>
    </row>
    <row r="110" ht="14.25" customHeight="1">
      <c r="AD110" s="207"/>
      <c r="AE110" s="207"/>
    </row>
    <row r="111" ht="14.25" customHeight="1">
      <c r="AD111" s="207"/>
      <c r="AE111" s="207"/>
    </row>
    <row r="112" ht="14.25" customHeight="1">
      <c r="AD112" s="207"/>
      <c r="AE112" s="207"/>
    </row>
    <row r="113" ht="14.25" customHeight="1">
      <c r="AD113" s="207"/>
      <c r="AE113" s="207"/>
    </row>
    <row r="114" ht="14.25" customHeight="1">
      <c r="AD114" s="207"/>
      <c r="AE114" s="207"/>
    </row>
    <row r="115" ht="14.25" customHeight="1">
      <c r="AD115" s="207"/>
      <c r="AE115" s="207"/>
    </row>
    <row r="116" ht="14.25" customHeight="1">
      <c r="AD116" s="207"/>
      <c r="AE116" s="207"/>
    </row>
    <row r="117" ht="14.25" customHeight="1">
      <c r="AD117" s="207"/>
      <c r="AE117" s="207"/>
    </row>
    <row r="118" ht="14.25" customHeight="1">
      <c r="AD118" s="207"/>
      <c r="AE118" s="207"/>
    </row>
    <row r="119" ht="14.25" customHeight="1">
      <c r="AD119" s="207"/>
      <c r="AE119" s="207"/>
    </row>
    <row r="120" ht="14.25" customHeight="1">
      <c r="AD120" s="207"/>
      <c r="AE120" s="207"/>
    </row>
    <row r="121" ht="14.25" customHeight="1">
      <c r="AD121" s="207"/>
      <c r="AE121" s="207"/>
    </row>
    <row r="122" ht="14.25" customHeight="1">
      <c r="AD122" s="207"/>
      <c r="AE122" s="207"/>
    </row>
    <row r="123" ht="14.25" customHeight="1">
      <c r="AD123" s="207"/>
      <c r="AE123" s="207"/>
    </row>
    <row r="124" ht="14.25" customHeight="1">
      <c r="AD124" s="207"/>
      <c r="AE124" s="207"/>
    </row>
    <row r="125" ht="14.25" customHeight="1">
      <c r="AD125" s="207"/>
      <c r="AE125" s="207"/>
    </row>
    <row r="126" ht="14.25" customHeight="1">
      <c r="AD126" s="207"/>
      <c r="AE126" s="207"/>
    </row>
    <row r="127" ht="14.25" customHeight="1">
      <c r="AD127" s="207"/>
      <c r="AE127" s="207"/>
    </row>
    <row r="128" ht="14.25" customHeight="1">
      <c r="AD128" s="207"/>
      <c r="AE128" s="207"/>
    </row>
    <row r="129" ht="14.25" customHeight="1">
      <c r="AD129" s="207"/>
      <c r="AE129" s="207"/>
    </row>
    <row r="130" ht="14.25" customHeight="1">
      <c r="AD130" s="207"/>
      <c r="AE130" s="207"/>
    </row>
    <row r="131" ht="14.25" customHeight="1">
      <c r="AD131" s="207"/>
      <c r="AE131" s="207"/>
    </row>
    <row r="132" ht="14.25" customHeight="1">
      <c r="AD132" s="207"/>
      <c r="AE132" s="207"/>
    </row>
    <row r="133" ht="14.25" customHeight="1">
      <c r="AD133" s="207"/>
      <c r="AE133" s="207"/>
    </row>
    <row r="134" ht="14.25" customHeight="1">
      <c r="AD134" s="207"/>
      <c r="AE134" s="207"/>
    </row>
    <row r="135" ht="14.25" customHeight="1">
      <c r="AD135" s="207"/>
      <c r="AE135" s="207"/>
    </row>
    <row r="136" ht="14.25" customHeight="1">
      <c r="AD136" s="207"/>
      <c r="AE136" s="207"/>
    </row>
    <row r="137" ht="14.25" customHeight="1">
      <c r="AD137" s="207"/>
      <c r="AE137" s="207"/>
    </row>
    <row r="138" ht="14.25" customHeight="1">
      <c r="AD138" s="207"/>
      <c r="AE138" s="207"/>
    </row>
    <row r="139" ht="14.25" customHeight="1">
      <c r="AD139" s="207"/>
      <c r="AE139" s="207"/>
    </row>
    <row r="140" ht="14.25" customHeight="1">
      <c r="AD140" s="207"/>
      <c r="AE140" s="207"/>
    </row>
    <row r="141" ht="14.25" customHeight="1">
      <c r="AD141" s="207"/>
      <c r="AE141" s="207"/>
    </row>
    <row r="142" ht="14.25" customHeight="1">
      <c r="AD142" s="207"/>
      <c r="AE142" s="207"/>
    </row>
    <row r="143" ht="14.25" customHeight="1">
      <c r="AD143" s="207"/>
      <c r="AE143" s="207"/>
    </row>
    <row r="144" ht="14.25" customHeight="1">
      <c r="AD144" s="207"/>
      <c r="AE144" s="207"/>
    </row>
    <row r="145" ht="14.25" customHeight="1">
      <c r="AD145" s="207"/>
      <c r="AE145" s="207"/>
    </row>
    <row r="146" ht="14.25" customHeight="1">
      <c r="AD146" s="207"/>
      <c r="AE146" s="207"/>
    </row>
    <row r="147" ht="14.25" customHeight="1">
      <c r="AD147" s="207"/>
      <c r="AE147" s="207"/>
    </row>
    <row r="148" ht="14.25" customHeight="1">
      <c r="AD148" s="207"/>
      <c r="AE148" s="207"/>
    </row>
    <row r="149" ht="14.25" customHeight="1">
      <c r="AD149" s="207"/>
      <c r="AE149" s="207"/>
    </row>
    <row r="150" ht="14.25" customHeight="1">
      <c r="AD150" s="207"/>
      <c r="AE150" s="207"/>
    </row>
    <row r="151" ht="14.25" customHeight="1">
      <c r="AD151" s="207"/>
      <c r="AE151" s="207"/>
    </row>
    <row r="152" ht="14.25" customHeight="1">
      <c r="AD152" s="207"/>
      <c r="AE152" s="207"/>
    </row>
    <row r="153" ht="14.25" customHeight="1">
      <c r="AD153" s="207"/>
      <c r="AE153" s="207"/>
    </row>
    <row r="154" ht="14.25" customHeight="1">
      <c r="AD154" s="207"/>
      <c r="AE154" s="207"/>
    </row>
    <row r="155" ht="14.25" customHeight="1">
      <c r="AD155" s="207"/>
      <c r="AE155" s="207"/>
    </row>
    <row r="156" ht="14.25" customHeight="1">
      <c r="AD156" s="207"/>
      <c r="AE156" s="207"/>
    </row>
    <row r="157" ht="14.25" customHeight="1">
      <c r="AD157" s="207"/>
      <c r="AE157" s="207"/>
    </row>
    <row r="158" ht="14.25" customHeight="1">
      <c r="AD158" s="207"/>
      <c r="AE158" s="207"/>
    </row>
    <row r="159" ht="14.25" customHeight="1">
      <c r="AD159" s="207"/>
      <c r="AE159" s="207"/>
    </row>
    <row r="160" ht="14.25" customHeight="1">
      <c r="AD160" s="207"/>
      <c r="AE160" s="207"/>
    </row>
    <row r="161" ht="14.25" customHeight="1">
      <c r="AD161" s="207"/>
      <c r="AE161" s="207"/>
    </row>
    <row r="162" ht="14.25" customHeight="1">
      <c r="AD162" s="207"/>
      <c r="AE162" s="207"/>
    </row>
    <row r="163" ht="14.25" customHeight="1">
      <c r="AD163" s="207"/>
      <c r="AE163" s="207"/>
    </row>
    <row r="164" ht="14.25" customHeight="1">
      <c r="AD164" s="207"/>
      <c r="AE164" s="207"/>
    </row>
    <row r="165" ht="14.25" customHeight="1">
      <c r="AD165" s="207"/>
      <c r="AE165" s="207"/>
    </row>
    <row r="166" ht="14.25" customHeight="1">
      <c r="AD166" s="207"/>
      <c r="AE166" s="207"/>
    </row>
    <row r="167" ht="14.25" customHeight="1">
      <c r="AD167" s="207"/>
      <c r="AE167" s="207"/>
    </row>
    <row r="168" ht="14.25" customHeight="1">
      <c r="AD168" s="207"/>
      <c r="AE168" s="207"/>
    </row>
    <row r="169" ht="14.25" customHeight="1">
      <c r="AD169" s="207"/>
      <c r="AE169" s="207"/>
    </row>
    <row r="170" ht="14.25" customHeight="1">
      <c r="AD170" s="207"/>
      <c r="AE170" s="207"/>
    </row>
    <row r="171" ht="14.25" customHeight="1">
      <c r="AD171" s="207"/>
      <c r="AE171" s="207"/>
    </row>
    <row r="172" ht="14.25" customHeight="1">
      <c r="AD172" s="207"/>
      <c r="AE172" s="207"/>
    </row>
    <row r="173" ht="14.25" customHeight="1">
      <c r="AD173" s="207"/>
      <c r="AE173" s="207"/>
    </row>
    <row r="174" ht="14.25" customHeight="1">
      <c r="AD174" s="207"/>
      <c r="AE174" s="207"/>
    </row>
    <row r="175" ht="14.25" customHeight="1">
      <c r="AD175" s="207"/>
      <c r="AE175" s="207"/>
    </row>
    <row r="176" ht="14.25" customHeight="1">
      <c r="AD176" s="207"/>
      <c r="AE176" s="207"/>
    </row>
    <row r="177" ht="14.25" customHeight="1">
      <c r="AD177" s="207"/>
      <c r="AE177" s="207"/>
    </row>
    <row r="178" ht="14.25" customHeight="1">
      <c r="AD178" s="207"/>
      <c r="AE178" s="207"/>
    </row>
    <row r="179" ht="14.25" customHeight="1">
      <c r="AD179" s="207"/>
      <c r="AE179" s="207"/>
    </row>
    <row r="180" ht="14.25" customHeight="1">
      <c r="AD180" s="207"/>
      <c r="AE180" s="207"/>
    </row>
    <row r="181" ht="14.25" customHeight="1">
      <c r="AD181" s="207"/>
      <c r="AE181" s="207"/>
    </row>
    <row r="182" ht="14.25" customHeight="1">
      <c r="AD182" s="207"/>
      <c r="AE182" s="207"/>
    </row>
    <row r="183" ht="14.25" customHeight="1">
      <c r="AD183" s="207"/>
      <c r="AE183" s="207"/>
    </row>
    <row r="184" ht="14.25" customHeight="1">
      <c r="AD184" s="207"/>
      <c r="AE184" s="207"/>
    </row>
    <row r="185" ht="14.25" customHeight="1">
      <c r="AD185" s="207"/>
      <c r="AE185" s="207"/>
    </row>
    <row r="186" ht="14.25" customHeight="1">
      <c r="AD186" s="207"/>
      <c r="AE186" s="207"/>
    </row>
    <row r="187" ht="14.25" customHeight="1">
      <c r="AD187" s="207"/>
      <c r="AE187" s="207"/>
    </row>
    <row r="188" ht="14.25" customHeight="1">
      <c r="AD188" s="207"/>
      <c r="AE188" s="207"/>
    </row>
    <row r="189" ht="14.25" customHeight="1">
      <c r="AD189" s="207"/>
      <c r="AE189" s="207"/>
    </row>
    <row r="190" ht="14.25" customHeight="1">
      <c r="AD190" s="207"/>
      <c r="AE190" s="207"/>
    </row>
    <row r="191" ht="14.25" customHeight="1">
      <c r="AD191" s="207"/>
      <c r="AE191" s="207"/>
    </row>
    <row r="192" ht="14.25" customHeight="1">
      <c r="AD192" s="207"/>
      <c r="AE192" s="207"/>
    </row>
    <row r="193" ht="14.25" customHeight="1">
      <c r="AD193" s="207"/>
      <c r="AE193" s="207"/>
    </row>
    <row r="194" ht="14.25" customHeight="1">
      <c r="AD194" s="207"/>
      <c r="AE194" s="207"/>
    </row>
    <row r="195" ht="14.25" customHeight="1">
      <c r="AD195" s="207"/>
      <c r="AE195" s="207"/>
    </row>
    <row r="196" ht="14.25" customHeight="1">
      <c r="AD196" s="207"/>
      <c r="AE196" s="207"/>
    </row>
    <row r="197" ht="14.25" customHeight="1">
      <c r="AD197" s="207"/>
      <c r="AE197" s="207"/>
    </row>
    <row r="198" ht="14.25" customHeight="1">
      <c r="AD198" s="207"/>
      <c r="AE198" s="207"/>
    </row>
    <row r="199" ht="14.25" customHeight="1">
      <c r="AD199" s="207"/>
      <c r="AE199" s="207"/>
    </row>
    <row r="200" ht="14.25" customHeight="1">
      <c r="AD200" s="207"/>
      <c r="AE200" s="207"/>
    </row>
    <row r="201" ht="14.25" customHeight="1">
      <c r="AD201" s="207"/>
      <c r="AE201" s="207"/>
    </row>
    <row r="202" ht="14.25" customHeight="1">
      <c r="AD202" s="207"/>
      <c r="AE202" s="207"/>
    </row>
    <row r="203" ht="14.25" customHeight="1">
      <c r="AD203" s="207"/>
      <c r="AE203" s="207"/>
    </row>
    <row r="204" ht="14.25" customHeight="1">
      <c r="AD204" s="207"/>
      <c r="AE204" s="207"/>
    </row>
    <row r="205" ht="14.25" customHeight="1">
      <c r="AD205" s="207"/>
      <c r="AE205" s="207"/>
    </row>
    <row r="206" ht="14.25" customHeight="1">
      <c r="AD206" s="207"/>
      <c r="AE206" s="207"/>
    </row>
    <row r="207" ht="14.25" customHeight="1">
      <c r="AD207" s="207"/>
      <c r="AE207" s="207"/>
    </row>
    <row r="208" ht="14.25" customHeight="1">
      <c r="AD208" s="207"/>
      <c r="AE208" s="207"/>
    </row>
    <row r="209" ht="14.25" customHeight="1">
      <c r="AD209" s="207"/>
      <c r="AE209" s="207"/>
    </row>
    <row r="210" ht="14.25" customHeight="1">
      <c r="AD210" s="207"/>
      <c r="AE210" s="207"/>
    </row>
    <row r="211" ht="14.25" customHeight="1">
      <c r="AD211" s="207"/>
      <c r="AE211" s="207"/>
    </row>
    <row r="212" ht="14.25" customHeight="1">
      <c r="AD212" s="207"/>
      <c r="AE212" s="207"/>
    </row>
    <row r="213" ht="14.25" customHeight="1">
      <c r="AD213" s="207"/>
      <c r="AE213" s="207"/>
    </row>
    <row r="214" ht="14.25" customHeight="1">
      <c r="AD214" s="207"/>
      <c r="AE214" s="207"/>
    </row>
    <row r="215" ht="14.25" customHeight="1">
      <c r="AD215" s="207"/>
      <c r="AE215" s="207"/>
    </row>
    <row r="216" ht="14.25" customHeight="1">
      <c r="AD216" s="207"/>
      <c r="AE216" s="207"/>
    </row>
    <row r="217" ht="14.25" customHeight="1">
      <c r="AD217" s="207"/>
      <c r="AE217" s="207"/>
    </row>
    <row r="218" ht="14.25" customHeight="1">
      <c r="AD218" s="207"/>
      <c r="AE218" s="207"/>
    </row>
    <row r="219" ht="14.25" customHeight="1">
      <c r="AD219" s="207"/>
      <c r="AE219" s="207"/>
    </row>
    <row r="220" ht="14.25" customHeight="1">
      <c r="AD220" s="207"/>
      <c r="AE220" s="207"/>
    </row>
    <row r="221" ht="14.25" customHeight="1">
      <c r="AD221" s="207"/>
      <c r="AE221" s="207"/>
    </row>
    <row r="222" ht="14.25" customHeight="1">
      <c r="AD222" s="207"/>
      <c r="AE222" s="207"/>
    </row>
    <row r="223" ht="14.25" customHeight="1">
      <c r="AD223" s="207"/>
      <c r="AE223" s="207"/>
    </row>
    <row r="224" ht="14.25" customHeight="1">
      <c r="AD224" s="207"/>
      <c r="AE224" s="207"/>
    </row>
    <row r="225" ht="14.25" customHeight="1">
      <c r="AD225" s="207"/>
      <c r="AE225" s="207"/>
    </row>
    <row r="226" ht="14.25" customHeight="1">
      <c r="AD226" s="207"/>
      <c r="AE226" s="207"/>
    </row>
    <row r="227" ht="14.25" customHeight="1">
      <c r="AD227" s="207"/>
      <c r="AE227" s="207"/>
    </row>
    <row r="228" ht="14.25" customHeight="1">
      <c r="AD228" s="207"/>
      <c r="AE228" s="207"/>
    </row>
    <row r="229" ht="14.25" customHeight="1">
      <c r="AD229" s="207"/>
      <c r="AE229" s="207"/>
    </row>
    <row r="230" ht="14.25" customHeight="1">
      <c r="AD230" s="207"/>
      <c r="AE230" s="207"/>
    </row>
    <row r="231" ht="14.25" customHeight="1">
      <c r="AD231" s="207"/>
      <c r="AE231" s="207"/>
    </row>
    <row r="232" ht="14.25" customHeight="1">
      <c r="AD232" s="207"/>
      <c r="AE232" s="207"/>
    </row>
    <row r="233" ht="14.25" customHeight="1">
      <c r="AD233" s="207"/>
      <c r="AE233" s="207"/>
    </row>
    <row r="234" ht="14.25" customHeight="1">
      <c r="AD234" s="207"/>
      <c r="AE234" s="207"/>
    </row>
    <row r="235" ht="14.25" customHeight="1">
      <c r="AD235" s="207"/>
      <c r="AE235" s="207"/>
    </row>
    <row r="236" ht="14.25" customHeight="1">
      <c r="AD236" s="207"/>
      <c r="AE236" s="207"/>
    </row>
    <row r="237" ht="14.25" customHeight="1">
      <c r="AD237" s="207"/>
      <c r="AE237" s="207"/>
    </row>
    <row r="238" ht="14.25" customHeight="1">
      <c r="AD238" s="207"/>
      <c r="AE238" s="207"/>
    </row>
    <row r="239" ht="14.25" customHeight="1">
      <c r="AD239" s="207"/>
      <c r="AE239" s="207"/>
    </row>
    <row r="240" ht="14.25" customHeight="1">
      <c r="AD240" s="207"/>
      <c r="AE240" s="207"/>
    </row>
    <row r="241" ht="14.25" customHeight="1">
      <c r="AD241" s="207"/>
      <c r="AE241" s="207"/>
    </row>
    <row r="242" ht="14.25" customHeight="1">
      <c r="AD242" s="207"/>
      <c r="AE242" s="207"/>
    </row>
    <row r="243" ht="14.25" customHeight="1">
      <c r="AD243" s="207"/>
      <c r="AE243" s="207"/>
    </row>
    <row r="244" ht="14.25" customHeight="1">
      <c r="AD244" s="207"/>
      <c r="AE244" s="207"/>
    </row>
    <row r="245" ht="14.25" customHeight="1">
      <c r="AD245" s="207"/>
      <c r="AE245" s="207"/>
    </row>
    <row r="246" ht="14.25" customHeight="1">
      <c r="AD246" s="207"/>
      <c r="AE246" s="207"/>
    </row>
    <row r="247" ht="14.25" customHeight="1">
      <c r="AD247" s="207"/>
      <c r="AE247" s="207"/>
    </row>
    <row r="248" ht="14.25" customHeight="1">
      <c r="AD248" s="207"/>
      <c r="AE248" s="207"/>
    </row>
    <row r="249" ht="14.25" customHeight="1">
      <c r="AD249" s="207"/>
      <c r="AE249" s="207"/>
    </row>
    <row r="250" ht="14.25" customHeight="1">
      <c r="AD250" s="207"/>
      <c r="AE250" s="207"/>
    </row>
    <row r="251" ht="14.25" customHeight="1">
      <c r="AD251" s="207"/>
      <c r="AE251" s="207"/>
    </row>
    <row r="252" ht="14.25" customHeight="1">
      <c r="AD252" s="207"/>
      <c r="AE252" s="207"/>
    </row>
    <row r="253" ht="14.25" customHeight="1">
      <c r="AD253" s="207"/>
      <c r="AE253" s="207"/>
    </row>
    <row r="254" ht="14.25" customHeight="1">
      <c r="AD254" s="207"/>
      <c r="AE254" s="207"/>
    </row>
    <row r="255" ht="14.25" customHeight="1">
      <c r="AD255" s="207"/>
      <c r="AE255" s="207"/>
    </row>
    <row r="256" ht="14.25" customHeight="1">
      <c r="AD256" s="207"/>
      <c r="AE256" s="207"/>
    </row>
    <row r="257" ht="14.25" customHeight="1">
      <c r="AD257" s="207"/>
      <c r="AE257" s="207"/>
    </row>
    <row r="258" ht="14.25" customHeight="1">
      <c r="AD258" s="207"/>
      <c r="AE258" s="207"/>
    </row>
    <row r="259" ht="14.25" customHeight="1">
      <c r="AD259" s="207"/>
      <c r="AE259" s="207"/>
    </row>
    <row r="260" ht="14.25" customHeight="1">
      <c r="AD260" s="207"/>
      <c r="AE260" s="207"/>
    </row>
    <row r="261" ht="14.25" customHeight="1">
      <c r="AD261" s="207"/>
      <c r="AE261" s="207"/>
    </row>
    <row r="262" ht="14.25" customHeight="1">
      <c r="AD262" s="207"/>
      <c r="AE262" s="207"/>
    </row>
    <row r="263" ht="14.25" customHeight="1">
      <c r="AD263" s="207"/>
      <c r="AE263" s="207"/>
    </row>
    <row r="264" ht="14.25" customHeight="1">
      <c r="AD264" s="207"/>
      <c r="AE264" s="207"/>
    </row>
    <row r="265" ht="14.25" customHeight="1">
      <c r="AD265" s="207"/>
      <c r="AE265" s="207"/>
    </row>
    <row r="266" ht="14.25" customHeight="1">
      <c r="AD266" s="207"/>
      <c r="AE266" s="207"/>
    </row>
    <row r="267" ht="14.25" customHeight="1">
      <c r="AD267" s="207"/>
      <c r="AE267" s="207"/>
    </row>
    <row r="268" ht="14.25" customHeight="1">
      <c r="AD268" s="207"/>
      <c r="AE268" s="207"/>
    </row>
    <row r="269" ht="14.25" customHeight="1">
      <c r="AD269" s="207"/>
      <c r="AE269" s="207"/>
    </row>
    <row r="270" ht="14.25" customHeight="1">
      <c r="AD270" s="207"/>
      <c r="AE270" s="207"/>
    </row>
    <row r="271" ht="14.25" customHeight="1">
      <c r="AD271" s="207"/>
      <c r="AE271" s="207"/>
    </row>
    <row r="272" ht="14.25" customHeight="1">
      <c r="AD272" s="207"/>
      <c r="AE272" s="207"/>
    </row>
    <row r="273" ht="14.25" customHeight="1">
      <c r="AD273" s="207"/>
      <c r="AE273" s="207"/>
    </row>
    <row r="274" ht="14.25" customHeight="1">
      <c r="AD274" s="207"/>
      <c r="AE274" s="207"/>
    </row>
    <row r="275" ht="14.25" customHeight="1">
      <c r="AD275" s="207"/>
      <c r="AE275" s="207"/>
    </row>
    <row r="276" ht="14.25" customHeight="1">
      <c r="AD276" s="207"/>
      <c r="AE276" s="207"/>
    </row>
    <row r="277" ht="14.25" customHeight="1">
      <c r="AD277" s="207"/>
      <c r="AE277" s="207"/>
    </row>
    <row r="278" ht="14.25" customHeight="1">
      <c r="AD278" s="207"/>
      <c r="AE278" s="207"/>
    </row>
    <row r="279" ht="14.25" customHeight="1">
      <c r="AD279" s="207"/>
      <c r="AE279" s="207"/>
    </row>
    <row r="280" ht="14.25" customHeight="1">
      <c r="AD280" s="207"/>
      <c r="AE280" s="207"/>
    </row>
    <row r="281" ht="14.25" customHeight="1">
      <c r="AD281" s="207"/>
      <c r="AE281" s="207"/>
    </row>
    <row r="282" ht="14.25" customHeight="1">
      <c r="AD282" s="207"/>
      <c r="AE282" s="207"/>
    </row>
    <row r="283" ht="14.25" customHeight="1">
      <c r="AD283" s="207"/>
      <c r="AE283" s="207"/>
    </row>
    <row r="284" ht="14.25" customHeight="1">
      <c r="AD284" s="207"/>
      <c r="AE284" s="207"/>
    </row>
    <row r="285" ht="14.25" customHeight="1">
      <c r="AD285" s="207"/>
      <c r="AE285" s="207"/>
    </row>
    <row r="286" ht="14.25" customHeight="1">
      <c r="AD286" s="207"/>
      <c r="AE286" s="207"/>
    </row>
    <row r="287" ht="14.25" customHeight="1">
      <c r="AD287" s="207"/>
      <c r="AE287" s="207"/>
    </row>
    <row r="288" ht="14.25" customHeight="1">
      <c r="AD288" s="207"/>
      <c r="AE288" s="207"/>
    </row>
    <row r="289" ht="14.25" customHeight="1">
      <c r="AD289" s="207"/>
      <c r="AE289" s="207"/>
    </row>
    <row r="290" ht="14.25" customHeight="1">
      <c r="AD290" s="207"/>
      <c r="AE290" s="207"/>
    </row>
    <row r="291" ht="14.25" customHeight="1">
      <c r="AD291" s="207"/>
      <c r="AE291" s="207"/>
    </row>
    <row r="292" ht="14.25" customHeight="1">
      <c r="AD292" s="207"/>
      <c r="AE292" s="207"/>
    </row>
    <row r="293" ht="14.25" customHeight="1">
      <c r="AD293" s="207"/>
      <c r="AE293" s="207"/>
    </row>
    <row r="294" ht="14.25" customHeight="1">
      <c r="AD294" s="207"/>
      <c r="AE294" s="207"/>
    </row>
    <row r="295" ht="14.25" customHeight="1">
      <c r="AD295" s="207"/>
      <c r="AE295" s="207"/>
    </row>
    <row r="296" ht="14.25" customHeight="1">
      <c r="AD296" s="207"/>
      <c r="AE296" s="207"/>
    </row>
    <row r="297" ht="14.25" customHeight="1">
      <c r="AD297" s="207"/>
      <c r="AE297" s="207"/>
    </row>
    <row r="298" ht="14.25" customHeight="1">
      <c r="AD298" s="207"/>
      <c r="AE298" s="207"/>
    </row>
    <row r="299" ht="14.25" customHeight="1">
      <c r="AD299" s="207"/>
      <c r="AE299" s="207"/>
    </row>
    <row r="300" ht="14.25" customHeight="1">
      <c r="AD300" s="207"/>
      <c r="AE300" s="207"/>
    </row>
    <row r="301" ht="14.25" customHeight="1">
      <c r="AD301" s="207"/>
      <c r="AE301" s="207"/>
    </row>
    <row r="302" ht="14.25" customHeight="1">
      <c r="AD302" s="207"/>
      <c r="AE302" s="207"/>
    </row>
    <row r="303" ht="14.25" customHeight="1">
      <c r="AD303" s="207"/>
      <c r="AE303" s="207"/>
    </row>
    <row r="304" ht="14.25" customHeight="1">
      <c r="AD304" s="207"/>
      <c r="AE304" s="207"/>
    </row>
    <row r="305" ht="14.25" customHeight="1">
      <c r="AD305" s="207"/>
      <c r="AE305" s="207"/>
    </row>
    <row r="306" ht="14.25" customHeight="1">
      <c r="AD306" s="207"/>
      <c r="AE306" s="207"/>
    </row>
    <row r="307" ht="14.25" customHeight="1">
      <c r="AD307" s="207"/>
      <c r="AE307" s="207"/>
    </row>
    <row r="308" ht="14.25" customHeight="1">
      <c r="AD308" s="207"/>
      <c r="AE308" s="207"/>
    </row>
    <row r="309" ht="14.25" customHeight="1">
      <c r="AD309" s="207"/>
      <c r="AE309" s="207"/>
    </row>
    <row r="310" ht="14.25" customHeight="1">
      <c r="AD310" s="207"/>
      <c r="AE310" s="207"/>
    </row>
    <row r="311" ht="14.25" customHeight="1">
      <c r="AD311" s="207"/>
      <c r="AE311" s="207"/>
    </row>
    <row r="312" ht="14.25" customHeight="1">
      <c r="AD312" s="207"/>
      <c r="AE312" s="207"/>
    </row>
    <row r="313" ht="14.25" customHeight="1">
      <c r="AD313" s="207"/>
      <c r="AE313" s="207"/>
    </row>
    <row r="314" ht="14.25" customHeight="1">
      <c r="AD314" s="207"/>
      <c r="AE314" s="207"/>
    </row>
    <row r="315" ht="14.25" customHeight="1">
      <c r="AD315" s="207"/>
      <c r="AE315" s="207"/>
    </row>
    <row r="316" ht="14.25" customHeight="1">
      <c r="AD316" s="207"/>
      <c r="AE316" s="207"/>
    </row>
    <row r="317" ht="14.25" customHeight="1">
      <c r="AD317" s="207"/>
      <c r="AE317" s="207"/>
    </row>
    <row r="318" ht="14.25" customHeight="1">
      <c r="AD318" s="207"/>
      <c r="AE318" s="207"/>
    </row>
    <row r="319" ht="14.25" customHeight="1">
      <c r="AD319" s="207"/>
      <c r="AE319" s="207"/>
    </row>
    <row r="320" ht="14.25" customHeight="1">
      <c r="AD320" s="207"/>
      <c r="AE320" s="207"/>
    </row>
    <row r="321" ht="14.25" customHeight="1">
      <c r="AD321" s="207"/>
      <c r="AE321" s="207"/>
    </row>
    <row r="322" ht="14.25" customHeight="1">
      <c r="AD322" s="207"/>
      <c r="AE322" s="207"/>
    </row>
    <row r="323" ht="14.25" customHeight="1">
      <c r="AD323" s="207"/>
      <c r="AE323" s="207"/>
    </row>
    <row r="324" ht="14.25" customHeight="1">
      <c r="AD324" s="207"/>
      <c r="AE324" s="207"/>
    </row>
    <row r="325" ht="14.25" customHeight="1">
      <c r="AD325" s="207"/>
      <c r="AE325" s="207"/>
    </row>
    <row r="326" ht="14.25" customHeight="1">
      <c r="AD326" s="207"/>
      <c r="AE326" s="207"/>
    </row>
    <row r="327" ht="14.25" customHeight="1">
      <c r="AD327" s="207"/>
      <c r="AE327" s="207"/>
    </row>
    <row r="328" ht="14.25" customHeight="1">
      <c r="AD328" s="207"/>
      <c r="AE328" s="207"/>
    </row>
    <row r="329" ht="14.25" customHeight="1">
      <c r="AD329" s="207"/>
      <c r="AE329" s="207"/>
    </row>
    <row r="330" ht="14.25" customHeight="1">
      <c r="AD330" s="207"/>
      <c r="AE330" s="207"/>
    </row>
    <row r="331" ht="14.25" customHeight="1">
      <c r="AD331" s="207"/>
      <c r="AE331" s="207"/>
    </row>
    <row r="332" ht="14.25" customHeight="1">
      <c r="AD332" s="207"/>
      <c r="AE332" s="207"/>
    </row>
    <row r="333" ht="14.25" customHeight="1">
      <c r="AD333" s="207"/>
      <c r="AE333" s="207"/>
    </row>
    <row r="334" ht="14.25" customHeight="1">
      <c r="AD334" s="207"/>
      <c r="AE334" s="207"/>
    </row>
    <row r="335" ht="14.25" customHeight="1">
      <c r="AD335" s="207"/>
      <c r="AE335" s="207"/>
    </row>
    <row r="336" ht="14.25" customHeight="1">
      <c r="AD336" s="207"/>
      <c r="AE336" s="207"/>
    </row>
    <row r="337" ht="14.25" customHeight="1">
      <c r="AD337" s="207"/>
      <c r="AE337" s="207"/>
    </row>
    <row r="338" ht="14.25" customHeight="1">
      <c r="AD338" s="207"/>
      <c r="AE338" s="207"/>
    </row>
    <row r="339" ht="14.25" customHeight="1">
      <c r="AD339" s="207"/>
      <c r="AE339" s="207"/>
    </row>
    <row r="340" ht="14.25" customHeight="1">
      <c r="AD340" s="207"/>
      <c r="AE340" s="207"/>
    </row>
    <row r="341" ht="14.25" customHeight="1">
      <c r="AD341" s="207"/>
      <c r="AE341" s="207"/>
    </row>
    <row r="342" ht="14.25" customHeight="1">
      <c r="AD342" s="207"/>
      <c r="AE342" s="207"/>
    </row>
    <row r="343" ht="14.25" customHeight="1">
      <c r="AD343" s="207"/>
      <c r="AE343" s="207"/>
    </row>
    <row r="344" ht="14.25" customHeight="1">
      <c r="AD344" s="207"/>
      <c r="AE344" s="207"/>
    </row>
    <row r="345" ht="14.25" customHeight="1">
      <c r="AD345" s="207"/>
      <c r="AE345" s="207"/>
    </row>
    <row r="346" ht="14.25" customHeight="1">
      <c r="AD346" s="207"/>
      <c r="AE346" s="207"/>
    </row>
    <row r="347" ht="14.25" customHeight="1">
      <c r="AD347" s="207"/>
      <c r="AE347" s="207"/>
    </row>
    <row r="348" ht="14.25" customHeight="1">
      <c r="AD348" s="207"/>
      <c r="AE348" s="207"/>
    </row>
    <row r="349" ht="14.25" customHeight="1">
      <c r="AD349" s="207"/>
      <c r="AE349" s="207"/>
    </row>
    <row r="350" ht="14.25" customHeight="1">
      <c r="AD350" s="207"/>
      <c r="AE350" s="207"/>
    </row>
    <row r="351" ht="14.25" customHeight="1">
      <c r="AD351" s="207"/>
      <c r="AE351" s="207"/>
    </row>
    <row r="352" ht="14.25" customHeight="1">
      <c r="AD352" s="207"/>
      <c r="AE352" s="207"/>
    </row>
    <row r="353" ht="14.25" customHeight="1">
      <c r="AD353" s="207"/>
      <c r="AE353" s="207"/>
    </row>
    <row r="354" ht="14.25" customHeight="1">
      <c r="AD354" s="207"/>
      <c r="AE354" s="207"/>
    </row>
    <row r="355" ht="14.25" customHeight="1">
      <c r="AD355" s="207"/>
      <c r="AE355" s="207"/>
    </row>
    <row r="356" ht="14.25" customHeight="1">
      <c r="AD356" s="207"/>
      <c r="AE356" s="207"/>
    </row>
    <row r="357" ht="14.25" customHeight="1">
      <c r="AD357" s="207"/>
      <c r="AE357" s="207"/>
    </row>
    <row r="358" ht="14.25" customHeight="1">
      <c r="AD358" s="207"/>
      <c r="AE358" s="207"/>
    </row>
    <row r="359" ht="14.25" customHeight="1">
      <c r="AD359" s="207"/>
      <c r="AE359" s="207"/>
    </row>
    <row r="360" ht="14.25" customHeight="1">
      <c r="AD360" s="207"/>
      <c r="AE360" s="207"/>
    </row>
    <row r="361" ht="14.25" customHeight="1">
      <c r="AD361" s="207"/>
      <c r="AE361" s="207"/>
    </row>
    <row r="362" ht="14.25" customHeight="1">
      <c r="AD362" s="207"/>
      <c r="AE362" s="207"/>
    </row>
    <row r="363" ht="14.25" customHeight="1">
      <c r="AD363" s="207"/>
      <c r="AE363" s="207"/>
    </row>
    <row r="364" ht="14.25" customHeight="1">
      <c r="AD364" s="207"/>
      <c r="AE364" s="207"/>
    </row>
    <row r="365" ht="14.25" customHeight="1">
      <c r="AD365" s="207"/>
      <c r="AE365" s="207"/>
    </row>
    <row r="366" ht="14.25" customHeight="1">
      <c r="AD366" s="207"/>
      <c r="AE366" s="207"/>
    </row>
    <row r="367" ht="14.25" customHeight="1">
      <c r="AD367" s="207"/>
      <c r="AE367" s="207"/>
    </row>
    <row r="368" ht="14.25" customHeight="1">
      <c r="AD368" s="207"/>
      <c r="AE368" s="207"/>
    </row>
    <row r="369" ht="14.25" customHeight="1">
      <c r="AD369" s="207"/>
      <c r="AE369" s="207"/>
    </row>
    <row r="370" ht="14.25" customHeight="1">
      <c r="AD370" s="207"/>
      <c r="AE370" s="207"/>
    </row>
    <row r="371" ht="14.25" customHeight="1">
      <c r="AD371" s="207"/>
      <c r="AE371" s="207"/>
    </row>
    <row r="372" ht="14.25" customHeight="1">
      <c r="AD372" s="207"/>
      <c r="AE372" s="207"/>
    </row>
    <row r="373" ht="14.25" customHeight="1">
      <c r="AD373" s="207"/>
      <c r="AE373" s="207"/>
    </row>
    <row r="374" ht="14.25" customHeight="1">
      <c r="AD374" s="207"/>
      <c r="AE374" s="207"/>
    </row>
    <row r="375" ht="14.25" customHeight="1">
      <c r="AD375" s="207"/>
      <c r="AE375" s="207"/>
    </row>
    <row r="376" ht="14.25" customHeight="1">
      <c r="AD376" s="207"/>
      <c r="AE376" s="207"/>
    </row>
    <row r="377" ht="14.25" customHeight="1">
      <c r="AD377" s="207"/>
      <c r="AE377" s="207"/>
    </row>
    <row r="378" ht="14.25" customHeight="1">
      <c r="AD378" s="207"/>
      <c r="AE378" s="207"/>
    </row>
    <row r="379" ht="14.25" customHeight="1">
      <c r="AD379" s="207"/>
      <c r="AE379" s="207"/>
    </row>
    <row r="380" ht="14.25" customHeight="1">
      <c r="AD380" s="207"/>
      <c r="AE380" s="207"/>
    </row>
    <row r="381" ht="14.25" customHeight="1">
      <c r="AD381" s="207"/>
      <c r="AE381" s="207"/>
    </row>
    <row r="382" ht="14.25" customHeight="1">
      <c r="AD382" s="207"/>
      <c r="AE382" s="207"/>
    </row>
    <row r="383" ht="14.25" customHeight="1">
      <c r="AD383" s="207"/>
      <c r="AE383" s="207"/>
    </row>
    <row r="384" ht="14.25" customHeight="1">
      <c r="AD384" s="207"/>
      <c r="AE384" s="207"/>
    </row>
    <row r="385" ht="14.25" customHeight="1">
      <c r="AD385" s="207"/>
      <c r="AE385" s="207"/>
    </row>
    <row r="386" ht="14.25" customHeight="1">
      <c r="AD386" s="207"/>
      <c r="AE386" s="207"/>
    </row>
    <row r="387" ht="14.25" customHeight="1">
      <c r="AD387" s="207"/>
      <c r="AE387" s="207"/>
    </row>
    <row r="388" ht="14.25" customHeight="1">
      <c r="AD388" s="207"/>
      <c r="AE388" s="207"/>
    </row>
    <row r="389" ht="14.25" customHeight="1">
      <c r="AD389" s="207"/>
      <c r="AE389" s="207"/>
    </row>
    <row r="390" ht="14.25" customHeight="1">
      <c r="AD390" s="207"/>
      <c r="AE390" s="207"/>
    </row>
    <row r="391" ht="14.25" customHeight="1">
      <c r="AD391" s="207"/>
      <c r="AE391" s="207"/>
    </row>
    <row r="392" ht="14.25" customHeight="1">
      <c r="AD392" s="207"/>
      <c r="AE392" s="207"/>
    </row>
    <row r="393" ht="14.25" customHeight="1">
      <c r="AD393" s="207"/>
      <c r="AE393" s="207"/>
    </row>
    <row r="394" ht="14.25" customHeight="1">
      <c r="AD394" s="207"/>
      <c r="AE394" s="207"/>
    </row>
    <row r="395" ht="14.25" customHeight="1">
      <c r="AD395" s="207"/>
      <c r="AE395" s="207"/>
    </row>
    <row r="396" ht="14.25" customHeight="1">
      <c r="AD396" s="207"/>
      <c r="AE396" s="207"/>
    </row>
    <row r="397" ht="14.25" customHeight="1">
      <c r="AD397" s="207"/>
      <c r="AE397" s="207"/>
    </row>
    <row r="398" ht="14.25" customHeight="1">
      <c r="AD398" s="207"/>
      <c r="AE398" s="207"/>
    </row>
    <row r="399" ht="14.25" customHeight="1">
      <c r="AD399" s="207"/>
      <c r="AE399" s="207"/>
    </row>
    <row r="400" ht="14.25" customHeight="1">
      <c r="AD400" s="207"/>
      <c r="AE400" s="207"/>
    </row>
    <row r="401" ht="14.25" customHeight="1">
      <c r="AD401" s="207"/>
      <c r="AE401" s="207"/>
    </row>
    <row r="402" ht="14.25" customHeight="1">
      <c r="AD402" s="207"/>
      <c r="AE402" s="207"/>
    </row>
    <row r="403" ht="14.25" customHeight="1">
      <c r="AD403" s="207"/>
      <c r="AE403" s="207"/>
    </row>
    <row r="404" ht="14.25" customHeight="1">
      <c r="AD404" s="207"/>
      <c r="AE404" s="207"/>
    </row>
    <row r="405" ht="14.25" customHeight="1">
      <c r="AD405" s="207"/>
      <c r="AE405" s="207"/>
    </row>
    <row r="406" ht="14.25" customHeight="1">
      <c r="AD406" s="207"/>
      <c r="AE406" s="207"/>
    </row>
    <row r="407" ht="14.25" customHeight="1">
      <c r="AD407" s="207"/>
      <c r="AE407" s="207"/>
    </row>
    <row r="408" ht="14.25" customHeight="1">
      <c r="AD408" s="207"/>
      <c r="AE408" s="207"/>
    </row>
    <row r="409" ht="14.25" customHeight="1">
      <c r="AD409" s="207"/>
      <c r="AE409" s="207"/>
    </row>
    <row r="410" ht="14.25" customHeight="1">
      <c r="AD410" s="207"/>
      <c r="AE410" s="207"/>
    </row>
    <row r="411" ht="14.25" customHeight="1">
      <c r="AD411" s="207"/>
      <c r="AE411" s="207"/>
    </row>
    <row r="412" ht="14.25" customHeight="1">
      <c r="AD412" s="207"/>
      <c r="AE412" s="207"/>
    </row>
    <row r="413" ht="14.25" customHeight="1">
      <c r="AD413" s="207"/>
      <c r="AE413" s="207"/>
    </row>
    <row r="414" ht="14.25" customHeight="1">
      <c r="AD414" s="207"/>
      <c r="AE414" s="207"/>
    </row>
    <row r="415" ht="14.25" customHeight="1">
      <c r="AD415" s="207"/>
      <c r="AE415" s="207"/>
    </row>
    <row r="416" ht="14.25" customHeight="1">
      <c r="AD416" s="207"/>
      <c r="AE416" s="207"/>
    </row>
    <row r="417" ht="14.25" customHeight="1">
      <c r="AD417" s="207"/>
      <c r="AE417" s="207"/>
    </row>
    <row r="418" ht="14.25" customHeight="1">
      <c r="AD418" s="207"/>
      <c r="AE418" s="207"/>
    </row>
    <row r="419" ht="14.25" customHeight="1">
      <c r="AD419" s="207"/>
      <c r="AE419" s="207"/>
    </row>
    <row r="420" ht="14.25" customHeight="1">
      <c r="AD420" s="207"/>
      <c r="AE420" s="207"/>
    </row>
    <row r="421" ht="14.25" customHeight="1">
      <c r="AD421" s="207"/>
      <c r="AE421" s="207"/>
    </row>
    <row r="422" ht="14.25" customHeight="1">
      <c r="AD422" s="207"/>
      <c r="AE422" s="207"/>
    </row>
    <row r="423" ht="14.25" customHeight="1">
      <c r="AD423" s="207"/>
      <c r="AE423" s="207"/>
    </row>
    <row r="424" ht="14.25" customHeight="1">
      <c r="AD424" s="207"/>
      <c r="AE424" s="207"/>
    </row>
    <row r="425" ht="14.25" customHeight="1">
      <c r="AD425" s="207"/>
      <c r="AE425" s="207"/>
    </row>
    <row r="426" ht="14.25" customHeight="1">
      <c r="AD426" s="207"/>
      <c r="AE426" s="207"/>
    </row>
    <row r="427" ht="14.25" customHeight="1">
      <c r="AD427" s="207"/>
      <c r="AE427" s="207"/>
    </row>
    <row r="428" ht="14.25" customHeight="1">
      <c r="AD428" s="207"/>
      <c r="AE428" s="207"/>
    </row>
    <row r="429" ht="14.25" customHeight="1">
      <c r="AD429" s="207"/>
      <c r="AE429" s="207"/>
    </row>
    <row r="430" ht="14.25" customHeight="1">
      <c r="AD430" s="207"/>
      <c r="AE430" s="207"/>
    </row>
    <row r="431" ht="14.25" customHeight="1">
      <c r="AD431" s="207"/>
      <c r="AE431" s="207"/>
    </row>
    <row r="432" ht="14.25" customHeight="1">
      <c r="AD432" s="207"/>
      <c r="AE432" s="207"/>
    </row>
    <row r="433" ht="14.25" customHeight="1">
      <c r="AD433" s="207"/>
      <c r="AE433" s="207"/>
    </row>
    <row r="434" ht="14.25" customHeight="1">
      <c r="AD434" s="207"/>
      <c r="AE434" s="207"/>
    </row>
    <row r="435" ht="14.25" customHeight="1">
      <c r="AD435" s="207"/>
      <c r="AE435" s="207"/>
    </row>
    <row r="436" ht="14.25" customHeight="1">
      <c r="AD436" s="207"/>
      <c r="AE436" s="207"/>
    </row>
    <row r="437" ht="14.25" customHeight="1">
      <c r="AD437" s="207"/>
      <c r="AE437" s="207"/>
    </row>
    <row r="438" ht="14.25" customHeight="1">
      <c r="AD438" s="207"/>
      <c r="AE438" s="207"/>
    </row>
    <row r="439" ht="14.25" customHeight="1">
      <c r="AD439" s="207"/>
      <c r="AE439" s="207"/>
    </row>
    <row r="440" ht="14.25" customHeight="1">
      <c r="AD440" s="207"/>
      <c r="AE440" s="207"/>
    </row>
    <row r="441" ht="14.25" customHeight="1">
      <c r="AD441" s="207"/>
      <c r="AE441" s="207"/>
    </row>
    <row r="442" ht="14.25" customHeight="1">
      <c r="AD442" s="207"/>
      <c r="AE442" s="207"/>
    </row>
    <row r="443" ht="14.25" customHeight="1">
      <c r="AD443" s="207"/>
      <c r="AE443" s="207"/>
    </row>
    <row r="444" ht="14.25" customHeight="1">
      <c r="AD444" s="207"/>
      <c r="AE444" s="207"/>
    </row>
    <row r="445" ht="14.25" customHeight="1">
      <c r="AD445" s="207"/>
      <c r="AE445" s="207"/>
    </row>
    <row r="446" ht="14.25" customHeight="1">
      <c r="AD446" s="207"/>
      <c r="AE446" s="207"/>
    </row>
    <row r="447" ht="14.25" customHeight="1">
      <c r="AD447" s="207"/>
      <c r="AE447" s="207"/>
    </row>
    <row r="448" ht="14.25" customHeight="1">
      <c r="AD448" s="207"/>
      <c r="AE448" s="207"/>
    </row>
    <row r="449" ht="14.25" customHeight="1">
      <c r="AD449" s="207"/>
      <c r="AE449" s="207"/>
    </row>
    <row r="450" ht="14.25" customHeight="1">
      <c r="AD450" s="207"/>
      <c r="AE450" s="207"/>
    </row>
    <row r="451" ht="14.25" customHeight="1">
      <c r="AD451" s="207"/>
      <c r="AE451" s="207"/>
    </row>
    <row r="452" ht="14.25" customHeight="1">
      <c r="AD452" s="207"/>
      <c r="AE452" s="207"/>
    </row>
    <row r="453" ht="14.25" customHeight="1">
      <c r="AD453" s="207"/>
      <c r="AE453" s="207"/>
    </row>
    <row r="454" ht="14.25" customHeight="1">
      <c r="AD454" s="207"/>
      <c r="AE454" s="207"/>
    </row>
    <row r="455" ht="14.25" customHeight="1">
      <c r="AD455" s="207"/>
      <c r="AE455" s="207"/>
    </row>
    <row r="456" ht="14.25" customHeight="1">
      <c r="AD456" s="207"/>
      <c r="AE456" s="207"/>
    </row>
    <row r="457" ht="14.25" customHeight="1">
      <c r="AD457" s="207"/>
      <c r="AE457" s="207"/>
    </row>
    <row r="458" ht="14.25" customHeight="1">
      <c r="AD458" s="207"/>
      <c r="AE458" s="207"/>
    </row>
    <row r="459" ht="14.25" customHeight="1">
      <c r="AD459" s="207"/>
      <c r="AE459" s="207"/>
    </row>
    <row r="460" ht="14.25" customHeight="1">
      <c r="AD460" s="207"/>
      <c r="AE460" s="207"/>
    </row>
    <row r="461" ht="14.25" customHeight="1">
      <c r="AD461" s="207"/>
      <c r="AE461" s="207"/>
    </row>
    <row r="462" ht="14.25" customHeight="1">
      <c r="AD462" s="207"/>
      <c r="AE462" s="207"/>
    </row>
    <row r="463" ht="14.25" customHeight="1">
      <c r="AD463" s="207"/>
      <c r="AE463" s="207"/>
    </row>
    <row r="464" ht="14.25" customHeight="1">
      <c r="AD464" s="207"/>
      <c r="AE464" s="207"/>
    </row>
    <row r="465" ht="14.25" customHeight="1">
      <c r="AD465" s="207"/>
      <c r="AE465" s="207"/>
    </row>
    <row r="466" ht="14.25" customHeight="1">
      <c r="AD466" s="207"/>
      <c r="AE466" s="207"/>
    </row>
    <row r="467" ht="14.25" customHeight="1">
      <c r="AD467" s="207"/>
      <c r="AE467" s="207"/>
    </row>
    <row r="468" ht="14.25" customHeight="1">
      <c r="AD468" s="207"/>
      <c r="AE468" s="207"/>
    </row>
    <row r="469" ht="14.25" customHeight="1">
      <c r="AD469" s="207"/>
      <c r="AE469" s="207"/>
    </row>
    <row r="470" ht="14.25" customHeight="1">
      <c r="AD470" s="207"/>
      <c r="AE470" s="207"/>
    </row>
    <row r="471" ht="14.25" customHeight="1">
      <c r="AD471" s="207"/>
      <c r="AE471" s="207"/>
    </row>
    <row r="472" ht="14.25" customHeight="1">
      <c r="AD472" s="207"/>
      <c r="AE472" s="207"/>
    </row>
    <row r="473" ht="14.25" customHeight="1">
      <c r="AD473" s="207"/>
      <c r="AE473" s="207"/>
    </row>
    <row r="474" ht="14.25" customHeight="1">
      <c r="AD474" s="207"/>
      <c r="AE474" s="207"/>
    </row>
    <row r="475" ht="14.25" customHeight="1">
      <c r="AD475" s="207"/>
      <c r="AE475" s="207"/>
    </row>
    <row r="476" ht="14.25" customHeight="1">
      <c r="AD476" s="207"/>
      <c r="AE476" s="207"/>
    </row>
    <row r="477" ht="14.25" customHeight="1">
      <c r="AD477" s="207"/>
      <c r="AE477" s="207"/>
    </row>
    <row r="478" ht="14.25" customHeight="1">
      <c r="AD478" s="207"/>
      <c r="AE478" s="207"/>
    </row>
    <row r="479" ht="14.25" customHeight="1">
      <c r="AD479" s="207"/>
      <c r="AE479" s="207"/>
    </row>
    <row r="480" ht="14.25" customHeight="1">
      <c r="AD480" s="207"/>
      <c r="AE480" s="207"/>
    </row>
    <row r="481" ht="14.25" customHeight="1">
      <c r="AD481" s="207"/>
      <c r="AE481" s="207"/>
    </row>
    <row r="482" ht="14.25" customHeight="1">
      <c r="AD482" s="207"/>
      <c r="AE482" s="207"/>
    </row>
    <row r="483" ht="14.25" customHeight="1">
      <c r="AD483" s="207"/>
      <c r="AE483" s="207"/>
    </row>
    <row r="484" ht="14.25" customHeight="1">
      <c r="AD484" s="207"/>
      <c r="AE484" s="207"/>
    </row>
    <row r="485" ht="14.25" customHeight="1">
      <c r="AD485" s="207"/>
      <c r="AE485" s="207"/>
    </row>
    <row r="486" ht="14.25" customHeight="1">
      <c r="AD486" s="207"/>
      <c r="AE486" s="207"/>
    </row>
    <row r="487" ht="14.25" customHeight="1">
      <c r="AD487" s="207"/>
      <c r="AE487" s="207"/>
    </row>
    <row r="488" ht="14.25" customHeight="1">
      <c r="AD488" s="207"/>
      <c r="AE488" s="207"/>
    </row>
    <row r="489" ht="14.25" customHeight="1">
      <c r="AD489" s="207"/>
      <c r="AE489" s="207"/>
    </row>
    <row r="490" ht="14.25" customHeight="1">
      <c r="AD490" s="207"/>
      <c r="AE490" s="207"/>
    </row>
    <row r="491" ht="14.25" customHeight="1">
      <c r="AD491" s="207"/>
      <c r="AE491" s="207"/>
    </row>
    <row r="492" ht="14.25" customHeight="1">
      <c r="AD492" s="207"/>
      <c r="AE492" s="207"/>
    </row>
    <row r="493" ht="14.25" customHeight="1">
      <c r="AD493" s="207"/>
      <c r="AE493" s="207"/>
    </row>
    <row r="494" ht="14.25" customHeight="1">
      <c r="AD494" s="207"/>
      <c r="AE494" s="207"/>
    </row>
    <row r="495" ht="14.25" customHeight="1">
      <c r="AD495" s="207"/>
      <c r="AE495" s="207"/>
    </row>
    <row r="496" ht="14.25" customHeight="1">
      <c r="AD496" s="207"/>
      <c r="AE496" s="207"/>
    </row>
    <row r="497" ht="14.25" customHeight="1">
      <c r="AD497" s="207"/>
      <c r="AE497" s="207"/>
    </row>
    <row r="498" ht="14.25" customHeight="1">
      <c r="AD498" s="207"/>
      <c r="AE498" s="207"/>
    </row>
    <row r="499" ht="14.25" customHeight="1">
      <c r="AD499" s="207"/>
      <c r="AE499" s="207"/>
    </row>
    <row r="500" ht="14.25" customHeight="1">
      <c r="AD500" s="207"/>
      <c r="AE500" s="207"/>
    </row>
    <row r="501" ht="14.25" customHeight="1">
      <c r="AD501" s="207"/>
      <c r="AE501" s="207"/>
    </row>
    <row r="502" ht="14.25" customHeight="1">
      <c r="AD502" s="207"/>
      <c r="AE502" s="207"/>
    </row>
    <row r="503" ht="14.25" customHeight="1">
      <c r="AD503" s="207"/>
      <c r="AE503" s="207"/>
    </row>
    <row r="504" ht="14.25" customHeight="1">
      <c r="AD504" s="207"/>
      <c r="AE504" s="207"/>
    </row>
    <row r="505" ht="14.25" customHeight="1">
      <c r="AD505" s="207"/>
      <c r="AE505" s="207"/>
    </row>
    <row r="506" ht="14.25" customHeight="1">
      <c r="AD506" s="207"/>
      <c r="AE506" s="207"/>
    </row>
    <row r="507" ht="14.25" customHeight="1">
      <c r="AD507" s="207"/>
      <c r="AE507" s="207"/>
    </row>
    <row r="508" ht="14.25" customHeight="1">
      <c r="AD508" s="207"/>
      <c r="AE508" s="207"/>
    </row>
    <row r="509" ht="14.25" customHeight="1">
      <c r="AD509" s="207"/>
      <c r="AE509" s="207"/>
    </row>
    <row r="510" ht="14.25" customHeight="1">
      <c r="AD510" s="207"/>
      <c r="AE510" s="207"/>
    </row>
    <row r="511" ht="14.25" customHeight="1">
      <c r="AD511" s="207"/>
      <c r="AE511" s="207"/>
    </row>
    <row r="512" ht="14.25" customHeight="1">
      <c r="AD512" s="207"/>
      <c r="AE512" s="207"/>
    </row>
    <row r="513" ht="14.25" customHeight="1">
      <c r="AD513" s="207"/>
      <c r="AE513" s="207"/>
    </row>
    <row r="514" ht="14.25" customHeight="1">
      <c r="AD514" s="207"/>
      <c r="AE514" s="207"/>
    </row>
    <row r="515" ht="14.25" customHeight="1">
      <c r="AD515" s="207"/>
      <c r="AE515" s="207"/>
    </row>
    <row r="516" ht="14.25" customHeight="1">
      <c r="AD516" s="207"/>
      <c r="AE516" s="207"/>
    </row>
    <row r="517" ht="14.25" customHeight="1">
      <c r="AD517" s="207"/>
      <c r="AE517" s="207"/>
    </row>
    <row r="518" ht="14.25" customHeight="1">
      <c r="AD518" s="207"/>
      <c r="AE518" s="207"/>
    </row>
    <row r="519" ht="14.25" customHeight="1">
      <c r="AD519" s="207"/>
      <c r="AE519" s="207"/>
    </row>
    <row r="520" ht="14.25" customHeight="1">
      <c r="AD520" s="207"/>
      <c r="AE520" s="207"/>
    </row>
    <row r="521" ht="14.25" customHeight="1">
      <c r="AD521" s="207"/>
      <c r="AE521" s="207"/>
    </row>
    <row r="522" ht="14.25" customHeight="1">
      <c r="AD522" s="207"/>
      <c r="AE522" s="207"/>
    </row>
    <row r="523" ht="14.25" customHeight="1">
      <c r="AD523" s="207"/>
      <c r="AE523" s="207"/>
    </row>
    <row r="524" ht="14.25" customHeight="1">
      <c r="AD524" s="207"/>
      <c r="AE524" s="207"/>
    </row>
    <row r="525" ht="14.25" customHeight="1">
      <c r="AD525" s="207"/>
      <c r="AE525" s="207"/>
    </row>
    <row r="526" ht="14.25" customHeight="1">
      <c r="AD526" s="207"/>
      <c r="AE526" s="207"/>
    </row>
    <row r="527" ht="14.25" customHeight="1">
      <c r="AD527" s="207"/>
      <c r="AE527" s="207"/>
    </row>
    <row r="528" ht="14.25" customHeight="1">
      <c r="AD528" s="207"/>
      <c r="AE528" s="207"/>
    </row>
    <row r="529" ht="14.25" customHeight="1">
      <c r="AD529" s="207"/>
      <c r="AE529" s="207"/>
    </row>
    <row r="530" ht="14.25" customHeight="1">
      <c r="AD530" s="207"/>
      <c r="AE530" s="207"/>
    </row>
    <row r="531" ht="14.25" customHeight="1">
      <c r="AD531" s="207"/>
      <c r="AE531" s="207"/>
    </row>
    <row r="532" ht="14.25" customHeight="1">
      <c r="AD532" s="207"/>
      <c r="AE532" s="207"/>
    </row>
    <row r="533" ht="14.25" customHeight="1">
      <c r="AD533" s="207"/>
      <c r="AE533" s="207"/>
    </row>
    <row r="534" ht="14.25" customHeight="1">
      <c r="AD534" s="207"/>
      <c r="AE534" s="207"/>
    </row>
    <row r="535" ht="14.25" customHeight="1">
      <c r="AD535" s="207"/>
      <c r="AE535" s="207"/>
    </row>
    <row r="536" ht="14.25" customHeight="1">
      <c r="AD536" s="207"/>
      <c r="AE536" s="207"/>
    </row>
    <row r="537" ht="14.25" customHeight="1">
      <c r="AD537" s="207"/>
      <c r="AE537" s="207"/>
    </row>
    <row r="538" ht="14.25" customHeight="1">
      <c r="AD538" s="207"/>
      <c r="AE538" s="207"/>
    </row>
    <row r="539" ht="14.25" customHeight="1">
      <c r="AD539" s="207"/>
      <c r="AE539" s="207"/>
    </row>
    <row r="540" ht="14.25" customHeight="1">
      <c r="AD540" s="207"/>
      <c r="AE540" s="207"/>
    </row>
    <row r="541" ht="14.25" customHeight="1">
      <c r="AD541" s="207"/>
      <c r="AE541" s="207"/>
    </row>
    <row r="542" ht="14.25" customHeight="1">
      <c r="AD542" s="207"/>
      <c r="AE542" s="207"/>
    </row>
    <row r="543" ht="14.25" customHeight="1">
      <c r="AD543" s="207"/>
      <c r="AE543" s="207"/>
    </row>
    <row r="544" ht="14.25" customHeight="1">
      <c r="AD544" s="207"/>
      <c r="AE544" s="207"/>
    </row>
    <row r="545" ht="14.25" customHeight="1">
      <c r="AD545" s="207"/>
      <c r="AE545" s="207"/>
    </row>
    <row r="546" ht="14.25" customHeight="1">
      <c r="AD546" s="207"/>
      <c r="AE546" s="207"/>
    </row>
    <row r="547" ht="14.25" customHeight="1">
      <c r="AD547" s="207"/>
      <c r="AE547" s="207"/>
    </row>
    <row r="548" ht="14.25" customHeight="1">
      <c r="AD548" s="207"/>
      <c r="AE548" s="207"/>
    </row>
    <row r="549" ht="14.25" customHeight="1">
      <c r="AD549" s="207"/>
      <c r="AE549" s="207"/>
    </row>
    <row r="550" ht="14.25" customHeight="1">
      <c r="AD550" s="207"/>
      <c r="AE550" s="207"/>
    </row>
    <row r="551" ht="14.25" customHeight="1">
      <c r="AD551" s="207"/>
      <c r="AE551" s="207"/>
    </row>
    <row r="552" ht="14.25" customHeight="1">
      <c r="AD552" s="207"/>
      <c r="AE552" s="207"/>
    </row>
    <row r="553" ht="14.25" customHeight="1">
      <c r="AD553" s="207"/>
      <c r="AE553" s="207"/>
    </row>
    <row r="554" ht="14.25" customHeight="1">
      <c r="AD554" s="207"/>
      <c r="AE554" s="207"/>
    </row>
    <row r="555" ht="14.25" customHeight="1">
      <c r="AD555" s="207"/>
      <c r="AE555" s="207"/>
    </row>
    <row r="556" ht="14.25" customHeight="1">
      <c r="AD556" s="207"/>
      <c r="AE556" s="207"/>
    </row>
    <row r="557" ht="14.25" customHeight="1">
      <c r="AD557" s="207"/>
      <c r="AE557" s="207"/>
    </row>
    <row r="558" ht="14.25" customHeight="1">
      <c r="AD558" s="207"/>
      <c r="AE558" s="207"/>
    </row>
    <row r="559" ht="14.25" customHeight="1">
      <c r="AD559" s="207"/>
      <c r="AE559" s="207"/>
    </row>
    <row r="560" ht="14.25" customHeight="1">
      <c r="AD560" s="207"/>
      <c r="AE560" s="207"/>
    </row>
    <row r="561" ht="14.25" customHeight="1">
      <c r="AD561" s="207"/>
      <c r="AE561" s="207"/>
    </row>
    <row r="562" ht="14.25" customHeight="1">
      <c r="AD562" s="207"/>
      <c r="AE562" s="207"/>
    </row>
    <row r="563" ht="14.25" customHeight="1">
      <c r="AD563" s="207"/>
      <c r="AE563" s="207"/>
    </row>
    <row r="564" ht="14.25" customHeight="1">
      <c r="AD564" s="207"/>
      <c r="AE564" s="207"/>
    </row>
    <row r="565" ht="14.25" customHeight="1">
      <c r="AD565" s="207"/>
      <c r="AE565" s="207"/>
    </row>
    <row r="566" ht="14.25" customHeight="1">
      <c r="AD566" s="207"/>
      <c r="AE566" s="207"/>
    </row>
    <row r="567" ht="14.25" customHeight="1">
      <c r="AD567" s="207"/>
      <c r="AE567" s="207"/>
    </row>
    <row r="568" ht="14.25" customHeight="1">
      <c r="AD568" s="207"/>
      <c r="AE568" s="207"/>
    </row>
    <row r="569" ht="14.25" customHeight="1">
      <c r="AD569" s="207"/>
      <c r="AE569" s="207"/>
    </row>
    <row r="570" ht="14.25" customHeight="1">
      <c r="AD570" s="207"/>
      <c r="AE570" s="207"/>
    </row>
    <row r="571" ht="14.25" customHeight="1">
      <c r="AD571" s="207"/>
      <c r="AE571" s="207"/>
    </row>
    <row r="572" ht="14.25" customHeight="1">
      <c r="AD572" s="207"/>
      <c r="AE572" s="207"/>
    </row>
    <row r="573" ht="14.25" customHeight="1">
      <c r="AD573" s="207"/>
      <c r="AE573" s="207"/>
    </row>
    <row r="574" ht="14.25" customHeight="1">
      <c r="AD574" s="207"/>
      <c r="AE574" s="207"/>
    </row>
    <row r="575" ht="14.25" customHeight="1">
      <c r="AD575" s="207"/>
      <c r="AE575" s="207"/>
    </row>
    <row r="576" ht="14.25" customHeight="1">
      <c r="AD576" s="207"/>
      <c r="AE576" s="207"/>
    </row>
    <row r="577" ht="14.25" customHeight="1">
      <c r="AD577" s="207"/>
      <c r="AE577" s="207"/>
    </row>
    <row r="578" ht="14.25" customHeight="1">
      <c r="AD578" s="207"/>
      <c r="AE578" s="207"/>
    </row>
    <row r="579" ht="14.25" customHeight="1">
      <c r="AD579" s="207"/>
      <c r="AE579" s="207"/>
    </row>
    <row r="580" ht="14.25" customHeight="1">
      <c r="AD580" s="207"/>
      <c r="AE580" s="207"/>
    </row>
    <row r="581" ht="14.25" customHeight="1">
      <c r="AD581" s="207"/>
      <c r="AE581" s="207"/>
    </row>
    <row r="582" ht="14.25" customHeight="1">
      <c r="AD582" s="207"/>
      <c r="AE582" s="207"/>
    </row>
    <row r="583" ht="14.25" customHeight="1">
      <c r="AD583" s="207"/>
      <c r="AE583" s="207"/>
    </row>
    <row r="584" ht="14.25" customHeight="1">
      <c r="AD584" s="207"/>
      <c r="AE584" s="207"/>
    </row>
    <row r="585" ht="14.25" customHeight="1">
      <c r="AD585" s="207"/>
      <c r="AE585" s="207"/>
    </row>
    <row r="586" ht="14.25" customHeight="1">
      <c r="AD586" s="207"/>
      <c r="AE586" s="207"/>
    </row>
    <row r="587" ht="14.25" customHeight="1">
      <c r="AD587" s="207"/>
      <c r="AE587" s="207"/>
    </row>
    <row r="588" ht="14.25" customHeight="1">
      <c r="AD588" s="207"/>
      <c r="AE588" s="207"/>
    </row>
    <row r="589" ht="14.25" customHeight="1">
      <c r="AD589" s="207"/>
      <c r="AE589" s="207"/>
    </row>
    <row r="590" ht="14.25" customHeight="1">
      <c r="AD590" s="207"/>
      <c r="AE590" s="207"/>
    </row>
    <row r="591" ht="14.25" customHeight="1">
      <c r="AD591" s="207"/>
      <c r="AE591" s="207"/>
    </row>
    <row r="592" ht="14.25" customHeight="1">
      <c r="AD592" s="207"/>
      <c r="AE592" s="207"/>
    </row>
    <row r="593" ht="14.25" customHeight="1">
      <c r="AD593" s="207"/>
      <c r="AE593" s="207"/>
    </row>
    <row r="594" ht="14.25" customHeight="1">
      <c r="AD594" s="207"/>
      <c r="AE594" s="207"/>
    </row>
    <row r="595" ht="14.25" customHeight="1">
      <c r="AD595" s="207"/>
      <c r="AE595" s="207"/>
    </row>
    <row r="596" ht="14.25" customHeight="1">
      <c r="AD596" s="207"/>
      <c r="AE596" s="207"/>
    </row>
    <row r="597" ht="14.25" customHeight="1">
      <c r="AD597" s="207"/>
      <c r="AE597" s="207"/>
    </row>
    <row r="598" ht="14.25" customHeight="1">
      <c r="AD598" s="207"/>
      <c r="AE598" s="207"/>
    </row>
    <row r="599" ht="14.25" customHeight="1">
      <c r="AD599" s="207"/>
      <c r="AE599" s="207"/>
    </row>
    <row r="600" ht="14.25" customHeight="1">
      <c r="AD600" s="207"/>
      <c r="AE600" s="207"/>
    </row>
    <row r="601" ht="14.25" customHeight="1">
      <c r="AD601" s="207"/>
      <c r="AE601" s="207"/>
    </row>
    <row r="602" ht="14.25" customHeight="1">
      <c r="AD602" s="207"/>
      <c r="AE602" s="207"/>
    </row>
    <row r="603" ht="14.25" customHeight="1">
      <c r="AD603" s="207"/>
      <c r="AE603" s="207"/>
    </row>
    <row r="604" ht="14.25" customHeight="1">
      <c r="AD604" s="207"/>
      <c r="AE604" s="207"/>
    </row>
    <row r="605" ht="14.25" customHeight="1">
      <c r="AD605" s="207"/>
      <c r="AE605" s="207"/>
    </row>
    <row r="606" ht="14.25" customHeight="1">
      <c r="AD606" s="207"/>
      <c r="AE606" s="207"/>
    </row>
    <row r="607" ht="14.25" customHeight="1">
      <c r="AD607" s="207"/>
      <c r="AE607" s="207"/>
    </row>
    <row r="608" ht="14.25" customHeight="1">
      <c r="AD608" s="207"/>
      <c r="AE608" s="207"/>
    </row>
    <row r="609" ht="14.25" customHeight="1">
      <c r="AD609" s="207"/>
      <c r="AE609" s="207"/>
    </row>
    <row r="610" ht="14.25" customHeight="1">
      <c r="AD610" s="207"/>
      <c r="AE610" s="207"/>
    </row>
    <row r="611" ht="14.25" customHeight="1">
      <c r="AD611" s="207"/>
      <c r="AE611" s="207"/>
    </row>
    <row r="612" ht="14.25" customHeight="1">
      <c r="AD612" s="207"/>
      <c r="AE612" s="207"/>
    </row>
    <row r="613" ht="14.25" customHeight="1">
      <c r="AD613" s="207"/>
      <c r="AE613" s="207"/>
    </row>
    <row r="614" ht="14.25" customHeight="1">
      <c r="AD614" s="207"/>
      <c r="AE614" s="207"/>
    </row>
    <row r="615" ht="14.25" customHeight="1">
      <c r="AD615" s="207"/>
      <c r="AE615" s="207"/>
    </row>
    <row r="616" ht="14.25" customHeight="1">
      <c r="AD616" s="207"/>
      <c r="AE616" s="207"/>
    </row>
    <row r="617" ht="14.25" customHeight="1">
      <c r="AD617" s="207"/>
      <c r="AE617" s="207"/>
    </row>
    <row r="618" ht="14.25" customHeight="1">
      <c r="AD618" s="207"/>
      <c r="AE618" s="207"/>
    </row>
    <row r="619" ht="14.25" customHeight="1">
      <c r="AD619" s="207"/>
      <c r="AE619" s="207"/>
    </row>
    <row r="620" ht="14.25" customHeight="1">
      <c r="AD620" s="207"/>
      <c r="AE620" s="207"/>
    </row>
    <row r="621" ht="14.25" customHeight="1">
      <c r="AD621" s="207"/>
      <c r="AE621" s="207"/>
    </row>
    <row r="622" ht="14.25" customHeight="1">
      <c r="AD622" s="207"/>
      <c r="AE622" s="207"/>
    </row>
    <row r="623" ht="14.25" customHeight="1">
      <c r="AD623" s="207"/>
      <c r="AE623" s="207"/>
    </row>
    <row r="624" ht="14.25" customHeight="1">
      <c r="AD624" s="207"/>
      <c r="AE624" s="207"/>
    </row>
    <row r="625" ht="14.25" customHeight="1">
      <c r="AD625" s="207"/>
      <c r="AE625" s="207"/>
    </row>
    <row r="626" ht="14.25" customHeight="1">
      <c r="AD626" s="207"/>
      <c r="AE626" s="207"/>
    </row>
    <row r="627" ht="14.25" customHeight="1">
      <c r="AD627" s="207"/>
      <c r="AE627" s="207"/>
    </row>
    <row r="628" ht="14.25" customHeight="1">
      <c r="AD628" s="207"/>
      <c r="AE628" s="207"/>
    </row>
    <row r="629" ht="14.25" customHeight="1">
      <c r="AD629" s="207"/>
      <c r="AE629" s="207"/>
    </row>
    <row r="630" ht="14.25" customHeight="1">
      <c r="AD630" s="207"/>
      <c r="AE630" s="207"/>
    </row>
    <row r="631" ht="14.25" customHeight="1">
      <c r="AD631" s="207"/>
      <c r="AE631" s="207"/>
    </row>
    <row r="632" ht="14.25" customHeight="1">
      <c r="AD632" s="207"/>
      <c r="AE632" s="207"/>
    </row>
    <row r="633" ht="14.25" customHeight="1">
      <c r="AD633" s="207"/>
      <c r="AE633" s="207"/>
    </row>
    <row r="634" ht="14.25" customHeight="1">
      <c r="AD634" s="207"/>
      <c r="AE634" s="207"/>
    </row>
    <row r="635" ht="14.25" customHeight="1">
      <c r="AD635" s="207"/>
      <c r="AE635" s="207"/>
    </row>
    <row r="636" ht="14.25" customHeight="1">
      <c r="AD636" s="207"/>
      <c r="AE636" s="207"/>
    </row>
    <row r="637" ht="14.25" customHeight="1">
      <c r="AD637" s="207"/>
      <c r="AE637" s="207"/>
    </row>
    <row r="638" ht="14.25" customHeight="1">
      <c r="AD638" s="207"/>
      <c r="AE638" s="207"/>
    </row>
    <row r="639" ht="14.25" customHeight="1">
      <c r="AD639" s="207"/>
      <c r="AE639" s="207"/>
    </row>
    <row r="640" ht="14.25" customHeight="1">
      <c r="AD640" s="207"/>
      <c r="AE640" s="207"/>
    </row>
    <row r="641" ht="14.25" customHeight="1">
      <c r="AD641" s="207"/>
      <c r="AE641" s="207"/>
    </row>
    <row r="642" ht="14.25" customHeight="1">
      <c r="AD642" s="207"/>
      <c r="AE642" s="207"/>
    </row>
    <row r="643" ht="14.25" customHeight="1">
      <c r="AD643" s="207"/>
      <c r="AE643" s="207"/>
    </row>
    <row r="644" ht="14.25" customHeight="1">
      <c r="AD644" s="207"/>
      <c r="AE644" s="207"/>
    </row>
    <row r="645" ht="14.25" customHeight="1">
      <c r="AD645" s="207"/>
      <c r="AE645" s="207"/>
    </row>
    <row r="646" ht="14.25" customHeight="1">
      <c r="AD646" s="207"/>
      <c r="AE646" s="207"/>
    </row>
    <row r="647" ht="14.25" customHeight="1">
      <c r="AD647" s="207"/>
      <c r="AE647" s="207"/>
    </row>
    <row r="648" ht="14.25" customHeight="1">
      <c r="AD648" s="207"/>
      <c r="AE648" s="207"/>
    </row>
    <row r="649" ht="14.25" customHeight="1">
      <c r="AD649" s="207"/>
      <c r="AE649" s="207"/>
    </row>
    <row r="650" ht="14.25" customHeight="1">
      <c r="AD650" s="207"/>
      <c r="AE650" s="207"/>
    </row>
    <row r="651" ht="14.25" customHeight="1">
      <c r="AD651" s="207"/>
      <c r="AE651" s="207"/>
    </row>
    <row r="652" ht="14.25" customHeight="1">
      <c r="AD652" s="207"/>
      <c r="AE652" s="207"/>
    </row>
    <row r="653" ht="14.25" customHeight="1">
      <c r="AD653" s="207"/>
      <c r="AE653" s="207"/>
    </row>
    <row r="654" ht="14.25" customHeight="1">
      <c r="AD654" s="207"/>
      <c r="AE654" s="207"/>
    </row>
    <row r="655" ht="14.25" customHeight="1">
      <c r="AD655" s="207"/>
      <c r="AE655" s="207"/>
    </row>
    <row r="656" ht="14.25" customHeight="1">
      <c r="AD656" s="207"/>
      <c r="AE656" s="207"/>
    </row>
    <row r="657" ht="14.25" customHeight="1">
      <c r="AD657" s="207"/>
      <c r="AE657" s="207"/>
    </row>
    <row r="658" ht="14.25" customHeight="1">
      <c r="AD658" s="207"/>
      <c r="AE658" s="207"/>
    </row>
    <row r="659" ht="14.25" customHeight="1">
      <c r="AD659" s="207"/>
      <c r="AE659" s="207"/>
    </row>
    <row r="660" ht="14.25" customHeight="1">
      <c r="AD660" s="207"/>
      <c r="AE660" s="207"/>
    </row>
    <row r="661" ht="14.25" customHeight="1">
      <c r="AD661" s="207"/>
      <c r="AE661" s="207"/>
    </row>
    <row r="662" ht="14.25" customHeight="1">
      <c r="AD662" s="207"/>
      <c r="AE662" s="207"/>
    </row>
    <row r="663" ht="14.25" customHeight="1">
      <c r="AD663" s="207"/>
      <c r="AE663" s="207"/>
    </row>
    <row r="664" ht="14.25" customHeight="1">
      <c r="AD664" s="207"/>
      <c r="AE664" s="207"/>
    </row>
    <row r="665" ht="14.25" customHeight="1">
      <c r="AD665" s="207"/>
      <c r="AE665" s="207"/>
    </row>
    <row r="666" ht="14.25" customHeight="1">
      <c r="AD666" s="207"/>
      <c r="AE666" s="207"/>
    </row>
    <row r="667" ht="14.25" customHeight="1">
      <c r="AD667" s="207"/>
      <c r="AE667" s="207"/>
    </row>
    <row r="668" ht="14.25" customHeight="1">
      <c r="AD668" s="207"/>
      <c r="AE668" s="207"/>
    </row>
    <row r="669" ht="14.25" customHeight="1">
      <c r="AD669" s="207"/>
      <c r="AE669" s="207"/>
    </row>
    <row r="670" ht="14.25" customHeight="1">
      <c r="AD670" s="207"/>
      <c r="AE670" s="207"/>
    </row>
    <row r="671" ht="14.25" customHeight="1">
      <c r="AD671" s="207"/>
      <c r="AE671" s="207"/>
    </row>
    <row r="672" ht="14.25" customHeight="1">
      <c r="AD672" s="207"/>
      <c r="AE672" s="207"/>
    </row>
    <row r="673" ht="14.25" customHeight="1">
      <c r="AD673" s="207"/>
      <c r="AE673" s="207"/>
    </row>
    <row r="674" ht="14.25" customHeight="1">
      <c r="AD674" s="207"/>
      <c r="AE674" s="207"/>
    </row>
    <row r="675" ht="14.25" customHeight="1">
      <c r="AD675" s="207"/>
      <c r="AE675" s="207"/>
    </row>
    <row r="676" ht="14.25" customHeight="1">
      <c r="AD676" s="207"/>
      <c r="AE676" s="207"/>
    </row>
    <row r="677" ht="14.25" customHeight="1">
      <c r="AD677" s="207"/>
      <c r="AE677" s="207"/>
    </row>
    <row r="678" ht="14.25" customHeight="1">
      <c r="AD678" s="207"/>
      <c r="AE678" s="207"/>
    </row>
    <row r="679" ht="14.25" customHeight="1">
      <c r="AD679" s="207"/>
      <c r="AE679" s="207"/>
    </row>
    <row r="680" ht="14.25" customHeight="1">
      <c r="AD680" s="207"/>
      <c r="AE680" s="207"/>
    </row>
    <row r="681" ht="14.25" customHeight="1">
      <c r="AD681" s="207"/>
      <c r="AE681" s="207"/>
    </row>
    <row r="682" ht="14.25" customHeight="1">
      <c r="AD682" s="207"/>
      <c r="AE682" s="207"/>
    </row>
    <row r="683" ht="14.25" customHeight="1">
      <c r="AD683" s="207"/>
      <c r="AE683" s="207"/>
    </row>
    <row r="684" ht="14.25" customHeight="1">
      <c r="AD684" s="207"/>
      <c r="AE684" s="207"/>
    </row>
    <row r="685" ht="14.25" customHeight="1">
      <c r="AD685" s="207"/>
      <c r="AE685" s="207"/>
    </row>
    <row r="686" ht="14.25" customHeight="1">
      <c r="AD686" s="207"/>
      <c r="AE686" s="207"/>
    </row>
    <row r="687" ht="14.25" customHeight="1">
      <c r="AD687" s="207"/>
      <c r="AE687" s="207"/>
    </row>
    <row r="688" ht="14.25" customHeight="1">
      <c r="AD688" s="207"/>
      <c r="AE688" s="207"/>
    </row>
    <row r="689" ht="14.25" customHeight="1">
      <c r="AD689" s="207"/>
      <c r="AE689" s="207"/>
    </row>
    <row r="690" ht="14.25" customHeight="1">
      <c r="AD690" s="207"/>
      <c r="AE690" s="207"/>
    </row>
    <row r="691" ht="14.25" customHeight="1">
      <c r="AD691" s="207"/>
      <c r="AE691" s="207"/>
    </row>
    <row r="692" ht="14.25" customHeight="1">
      <c r="AD692" s="207"/>
      <c r="AE692" s="207"/>
    </row>
    <row r="693" ht="14.25" customHeight="1">
      <c r="AD693" s="207"/>
      <c r="AE693" s="207"/>
    </row>
    <row r="694" ht="14.25" customHeight="1">
      <c r="AD694" s="207"/>
      <c r="AE694" s="207"/>
    </row>
    <row r="695" ht="14.25" customHeight="1">
      <c r="AD695" s="207"/>
      <c r="AE695" s="207"/>
    </row>
    <row r="696" ht="14.25" customHeight="1">
      <c r="AD696" s="207"/>
      <c r="AE696" s="207"/>
    </row>
    <row r="697" ht="14.25" customHeight="1">
      <c r="AD697" s="207"/>
      <c r="AE697" s="207"/>
    </row>
    <row r="698" ht="14.25" customHeight="1">
      <c r="AD698" s="207"/>
      <c r="AE698" s="207"/>
    </row>
    <row r="699" ht="14.25" customHeight="1">
      <c r="AD699" s="207"/>
      <c r="AE699" s="207"/>
    </row>
    <row r="700" ht="14.25" customHeight="1">
      <c r="AD700" s="207"/>
      <c r="AE700" s="207"/>
    </row>
    <row r="701" ht="14.25" customHeight="1">
      <c r="AD701" s="207"/>
      <c r="AE701" s="207"/>
    </row>
    <row r="702" ht="14.25" customHeight="1">
      <c r="AD702" s="207"/>
      <c r="AE702" s="207"/>
    </row>
    <row r="703" ht="14.25" customHeight="1">
      <c r="AD703" s="207"/>
      <c r="AE703" s="207"/>
    </row>
    <row r="704" ht="14.25" customHeight="1">
      <c r="AD704" s="207"/>
      <c r="AE704" s="207"/>
    </row>
    <row r="705" ht="14.25" customHeight="1">
      <c r="AD705" s="207"/>
      <c r="AE705" s="207"/>
    </row>
    <row r="706" ht="14.25" customHeight="1">
      <c r="AD706" s="207"/>
      <c r="AE706" s="207"/>
    </row>
    <row r="707" ht="14.25" customHeight="1">
      <c r="AD707" s="207"/>
      <c r="AE707" s="207"/>
    </row>
    <row r="708" ht="14.25" customHeight="1">
      <c r="AD708" s="207"/>
      <c r="AE708" s="207"/>
    </row>
    <row r="709" ht="14.25" customHeight="1">
      <c r="AD709" s="207"/>
      <c r="AE709" s="207"/>
    </row>
    <row r="710" ht="14.25" customHeight="1">
      <c r="AD710" s="207"/>
      <c r="AE710" s="207"/>
    </row>
    <row r="711" ht="14.25" customHeight="1">
      <c r="AD711" s="207"/>
      <c r="AE711" s="207"/>
    </row>
    <row r="712" ht="14.25" customHeight="1">
      <c r="AD712" s="207"/>
      <c r="AE712" s="207"/>
    </row>
    <row r="713" ht="14.25" customHeight="1">
      <c r="AD713" s="207"/>
      <c r="AE713" s="207"/>
    </row>
    <row r="714" ht="14.25" customHeight="1">
      <c r="AD714" s="207"/>
      <c r="AE714" s="207"/>
    </row>
    <row r="715" ht="14.25" customHeight="1">
      <c r="AD715" s="207"/>
      <c r="AE715" s="207"/>
    </row>
    <row r="716" ht="14.25" customHeight="1">
      <c r="AD716" s="207"/>
      <c r="AE716" s="207"/>
    </row>
    <row r="717" ht="14.25" customHeight="1">
      <c r="AD717" s="207"/>
      <c r="AE717" s="207"/>
    </row>
    <row r="718" ht="14.25" customHeight="1">
      <c r="AD718" s="207"/>
      <c r="AE718" s="207"/>
    </row>
    <row r="719" ht="14.25" customHeight="1">
      <c r="AD719" s="207"/>
      <c r="AE719" s="207"/>
    </row>
    <row r="720" ht="14.25" customHeight="1">
      <c r="AD720" s="207"/>
      <c r="AE720" s="207"/>
    </row>
    <row r="721" ht="14.25" customHeight="1">
      <c r="AD721" s="207"/>
      <c r="AE721" s="207"/>
    </row>
    <row r="722" ht="14.25" customHeight="1">
      <c r="AD722" s="207"/>
      <c r="AE722" s="207"/>
    </row>
    <row r="723" ht="14.25" customHeight="1">
      <c r="AD723" s="207"/>
      <c r="AE723" s="207"/>
    </row>
    <row r="724" ht="14.25" customHeight="1">
      <c r="AD724" s="207"/>
      <c r="AE724" s="207"/>
    </row>
    <row r="725" ht="14.25" customHeight="1">
      <c r="AD725" s="207"/>
      <c r="AE725" s="207"/>
    </row>
    <row r="726" ht="14.25" customHeight="1">
      <c r="AD726" s="207"/>
      <c r="AE726" s="207"/>
    </row>
    <row r="727" ht="14.25" customHeight="1">
      <c r="AD727" s="207"/>
      <c r="AE727" s="207"/>
    </row>
    <row r="728" ht="14.25" customHeight="1">
      <c r="AD728" s="207"/>
      <c r="AE728" s="207"/>
    </row>
    <row r="729" ht="14.25" customHeight="1">
      <c r="AD729" s="207"/>
      <c r="AE729" s="207"/>
    </row>
    <row r="730" ht="14.25" customHeight="1">
      <c r="AD730" s="207"/>
      <c r="AE730" s="207"/>
    </row>
    <row r="731" ht="14.25" customHeight="1">
      <c r="AD731" s="207"/>
      <c r="AE731" s="207"/>
    </row>
    <row r="732" ht="14.25" customHeight="1">
      <c r="AD732" s="207"/>
      <c r="AE732" s="207"/>
    </row>
    <row r="733" ht="14.25" customHeight="1">
      <c r="AD733" s="207"/>
      <c r="AE733" s="207"/>
    </row>
    <row r="734" ht="14.25" customHeight="1">
      <c r="AD734" s="207"/>
      <c r="AE734" s="207"/>
    </row>
    <row r="735" ht="14.25" customHeight="1">
      <c r="AD735" s="207"/>
      <c r="AE735" s="207"/>
    </row>
    <row r="736" ht="14.25" customHeight="1">
      <c r="AD736" s="207"/>
      <c r="AE736" s="207"/>
    </row>
    <row r="737" ht="14.25" customHeight="1">
      <c r="AD737" s="207"/>
      <c r="AE737" s="207"/>
    </row>
    <row r="738" ht="14.25" customHeight="1">
      <c r="AD738" s="207"/>
      <c r="AE738" s="207"/>
    </row>
    <row r="739" ht="14.25" customHeight="1">
      <c r="AD739" s="207"/>
      <c r="AE739" s="207"/>
    </row>
    <row r="740" ht="14.25" customHeight="1">
      <c r="AD740" s="207"/>
      <c r="AE740" s="207"/>
    </row>
    <row r="741" ht="14.25" customHeight="1">
      <c r="AD741" s="207"/>
      <c r="AE741" s="207"/>
    </row>
    <row r="742" ht="14.25" customHeight="1">
      <c r="AD742" s="207"/>
      <c r="AE742" s="207"/>
    </row>
    <row r="743" ht="14.25" customHeight="1">
      <c r="AD743" s="207"/>
      <c r="AE743" s="207"/>
    </row>
    <row r="744" ht="14.25" customHeight="1">
      <c r="AD744" s="207"/>
      <c r="AE744" s="207"/>
    </row>
    <row r="745" ht="14.25" customHeight="1">
      <c r="AD745" s="207"/>
      <c r="AE745" s="207"/>
    </row>
    <row r="746" ht="14.25" customHeight="1">
      <c r="AD746" s="207"/>
      <c r="AE746" s="207"/>
    </row>
    <row r="747" ht="14.25" customHeight="1">
      <c r="AD747" s="207"/>
      <c r="AE747" s="207"/>
    </row>
    <row r="748" ht="14.25" customHeight="1">
      <c r="AD748" s="207"/>
      <c r="AE748" s="207"/>
    </row>
    <row r="749" ht="14.25" customHeight="1">
      <c r="AD749" s="207"/>
      <c r="AE749" s="207"/>
    </row>
    <row r="750" ht="14.25" customHeight="1">
      <c r="AD750" s="207"/>
      <c r="AE750" s="207"/>
    </row>
    <row r="751" ht="14.25" customHeight="1">
      <c r="AD751" s="207"/>
      <c r="AE751" s="207"/>
    </row>
    <row r="752" ht="14.25" customHeight="1">
      <c r="AD752" s="207"/>
      <c r="AE752" s="207"/>
    </row>
    <row r="753" ht="14.25" customHeight="1">
      <c r="AD753" s="207"/>
      <c r="AE753" s="207"/>
    </row>
    <row r="754" ht="14.25" customHeight="1">
      <c r="AD754" s="207"/>
      <c r="AE754" s="207"/>
    </row>
    <row r="755" ht="14.25" customHeight="1">
      <c r="AD755" s="207"/>
      <c r="AE755" s="207"/>
    </row>
    <row r="756" ht="14.25" customHeight="1">
      <c r="AD756" s="207"/>
      <c r="AE756" s="207"/>
    </row>
    <row r="757" ht="14.25" customHeight="1">
      <c r="AD757" s="207"/>
      <c r="AE757" s="207"/>
    </row>
    <row r="758" ht="14.25" customHeight="1">
      <c r="AD758" s="207"/>
      <c r="AE758" s="207"/>
    </row>
    <row r="759" ht="14.25" customHeight="1">
      <c r="AD759" s="207"/>
      <c r="AE759" s="207"/>
    </row>
    <row r="760" ht="14.25" customHeight="1">
      <c r="AD760" s="207"/>
      <c r="AE760" s="207"/>
    </row>
    <row r="761" ht="14.25" customHeight="1">
      <c r="AD761" s="207"/>
      <c r="AE761" s="207"/>
    </row>
    <row r="762" ht="14.25" customHeight="1">
      <c r="AD762" s="207"/>
      <c r="AE762" s="207"/>
    </row>
    <row r="763" ht="14.25" customHeight="1">
      <c r="AD763" s="207"/>
      <c r="AE763" s="207"/>
    </row>
    <row r="764" ht="14.25" customHeight="1">
      <c r="AD764" s="207"/>
      <c r="AE764" s="207"/>
    </row>
    <row r="765" ht="14.25" customHeight="1">
      <c r="AD765" s="207"/>
      <c r="AE765" s="207"/>
    </row>
    <row r="766" ht="14.25" customHeight="1">
      <c r="AD766" s="207"/>
      <c r="AE766" s="207"/>
    </row>
    <row r="767" ht="14.25" customHeight="1">
      <c r="AD767" s="207"/>
      <c r="AE767" s="207"/>
    </row>
    <row r="768" ht="14.25" customHeight="1">
      <c r="AD768" s="207"/>
      <c r="AE768" s="207"/>
    </row>
    <row r="769" ht="14.25" customHeight="1">
      <c r="AD769" s="207"/>
      <c r="AE769" s="207"/>
    </row>
    <row r="770" ht="14.25" customHeight="1">
      <c r="AD770" s="207"/>
      <c r="AE770" s="207"/>
    </row>
    <row r="771" ht="14.25" customHeight="1">
      <c r="AD771" s="207"/>
      <c r="AE771" s="207"/>
    </row>
    <row r="772" ht="14.25" customHeight="1">
      <c r="AD772" s="207"/>
      <c r="AE772" s="207"/>
    </row>
    <row r="773" ht="14.25" customHeight="1">
      <c r="AD773" s="207"/>
      <c r="AE773" s="207"/>
    </row>
    <row r="774" ht="14.25" customHeight="1">
      <c r="AD774" s="207"/>
      <c r="AE774" s="207"/>
    </row>
    <row r="775" ht="14.25" customHeight="1">
      <c r="AD775" s="207"/>
      <c r="AE775" s="207"/>
    </row>
    <row r="776" ht="14.25" customHeight="1">
      <c r="AD776" s="207"/>
      <c r="AE776" s="207"/>
    </row>
    <row r="777" ht="14.25" customHeight="1">
      <c r="AD777" s="207"/>
      <c r="AE777" s="207"/>
    </row>
    <row r="778" ht="14.25" customHeight="1">
      <c r="AD778" s="207"/>
      <c r="AE778" s="207"/>
    </row>
    <row r="779" ht="14.25" customHeight="1">
      <c r="AD779" s="207"/>
      <c r="AE779" s="207"/>
    </row>
    <row r="780" ht="14.25" customHeight="1">
      <c r="AD780" s="207"/>
      <c r="AE780" s="207"/>
    </row>
    <row r="781" ht="14.25" customHeight="1">
      <c r="AD781" s="207"/>
      <c r="AE781" s="207"/>
    </row>
    <row r="782" ht="14.25" customHeight="1">
      <c r="AD782" s="207"/>
      <c r="AE782" s="207"/>
    </row>
    <row r="783" ht="14.25" customHeight="1">
      <c r="AD783" s="207"/>
      <c r="AE783" s="207"/>
    </row>
    <row r="784" ht="14.25" customHeight="1">
      <c r="AD784" s="207"/>
      <c r="AE784" s="207"/>
    </row>
    <row r="785" ht="14.25" customHeight="1">
      <c r="AD785" s="207"/>
      <c r="AE785" s="207"/>
    </row>
    <row r="786" ht="14.25" customHeight="1">
      <c r="AD786" s="207"/>
      <c r="AE786" s="207"/>
    </row>
    <row r="787" ht="14.25" customHeight="1">
      <c r="AD787" s="207"/>
      <c r="AE787" s="207"/>
    </row>
    <row r="788" ht="14.25" customHeight="1">
      <c r="AD788" s="207"/>
      <c r="AE788" s="207"/>
    </row>
    <row r="789" ht="14.25" customHeight="1">
      <c r="AD789" s="207"/>
      <c r="AE789" s="207"/>
    </row>
    <row r="790" ht="14.25" customHeight="1">
      <c r="AD790" s="207"/>
      <c r="AE790" s="207"/>
    </row>
    <row r="791" ht="14.25" customHeight="1">
      <c r="AD791" s="207"/>
      <c r="AE791" s="207"/>
    </row>
    <row r="792" ht="14.25" customHeight="1">
      <c r="AD792" s="207"/>
      <c r="AE792" s="207"/>
    </row>
    <row r="793" ht="14.25" customHeight="1">
      <c r="AD793" s="207"/>
      <c r="AE793" s="207"/>
    </row>
    <row r="794" ht="14.25" customHeight="1">
      <c r="AD794" s="207"/>
      <c r="AE794" s="207"/>
    </row>
    <row r="795" ht="14.25" customHeight="1">
      <c r="AD795" s="207"/>
      <c r="AE795" s="207"/>
    </row>
    <row r="796" ht="14.25" customHeight="1">
      <c r="AD796" s="207"/>
      <c r="AE796" s="207"/>
    </row>
    <row r="797" ht="14.25" customHeight="1">
      <c r="AD797" s="207"/>
      <c r="AE797" s="207"/>
    </row>
    <row r="798" ht="14.25" customHeight="1">
      <c r="AD798" s="207"/>
      <c r="AE798" s="207"/>
    </row>
    <row r="799" ht="14.25" customHeight="1">
      <c r="AD799" s="207"/>
      <c r="AE799" s="207"/>
    </row>
    <row r="800" ht="14.25" customHeight="1">
      <c r="AD800" s="207"/>
      <c r="AE800" s="207"/>
    </row>
    <row r="801" ht="14.25" customHeight="1">
      <c r="AD801" s="207"/>
      <c r="AE801" s="207"/>
    </row>
    <row r="802" ht="14.25" customHeight="1">
      <c r="AD802" s="207"/>
      <c r="AE802" s="207"/>
    </row>
    <row r="803" ht="14.25" customHeight="1">
      <c r="AD803" s="207"/>
      <c r="AE803" s="207"/>
    </row>
    <row r="804" ht="14.25" customHeight="1">
      <c r="AD804" s="207"/>
      <c r="AE804" s="207"/>
    </row>
    <row r="805" ht="14.25" customHeight="1">
      <c r="AD805" s="207"/>
      <c r="AE805" s="207"/>
    </row>
    <row r="806" ht="14.25" customHeight="1">
      <c r="AD806" s="207"/>
      <c r="AE806" s="207"/>
    </row>
    <row r="807" ht="14.25" customHeight="1">
      <c r="AD807" s="207"/>
      <c r="AE807" s="207"/>
    </row>
    <row r="808" ht="14.25" customHeight="1">
      <c r="AD808" s="207"/>
      <c r="AE808" s="207"/>
    </row>
    <row r="809" ht="14.25" customHeight="1">
      <c r="AD809" s="207"/>
      <c r="AE809" s="207"/>
    </row>
    <row r="810" ht="14.25" customHeight="1">
      <c r="AD810" s="207"/>
      <c r="AE810" s="207"/>
    </row>
    <row r="811" ht="14.25" customHeight="1">
      <c r="AD811" s="207"/>
      <c r="AE811" s="207"/>
    </row>
    <row r="812" ht="14.25" customHeight="1">
      <c r="AD812" s="207"/>
      <c r="AE812" s="207"/>
    </row>
    <row r="813" ht="14.25" customHeight="1">
      <c r="AD813" s="207"/>
      <c r="AE813" s="207"/>
    </row>
    <row r="814" ht="14.25" customHeight="1">
      <c r="AD814" s="207"/>
      <c r="AE814" s="207"/>
    </row>
    <row r="815" ht="14.25" customHeight="1">
      <c r="AD815" s="207"/>
      <c r="AE815" s="207"/>
    </row>
    <row r="816" ht="14.25" customHeight="1">
      <c r="AD816" s="207"/>
      <c r="AE816" s="207"/>
    </row>
    <row r="817" ht="14.25" customHeight="1">
      <c r="AD817" s="207"/>
      <c r="AE817" s="207"/>
    </row>
    <row r="818" ht="14.25" customHeight="1">
      <c r="AD818" s="207"/>
      <c r="AE818" s="207"/>
    </row>
    <row r="819" ht="14.25" customHeight="1">
      <c r="AD819" s="207"/>
      <c r="AE819" s="207"/>
    </row>
    <row r="820" ht="14.25" customHeight="1">
      <c r="AD820" s="207"/>
      <c r="AE820" s="207"/>
    </row>
    <row r="821" ht="14.25" customHeight="1">
      <c r="AD821" s="207"/>
      <c r="AE821" s="207"/>
    </row>
    <row r="822" ht="14.25" customHeight="1">
      <c r="AD822" s="207"/>
      <c r="AE822" s="207"/>
    </row>
    <row r="823" ht="14.25" customHeight="1">
      <c r="AD823" s="207"/>
      <c r="AE823" s="207"/>
    </row>
    <row r="824" ht="14.25" customHeight="1">
      <c r="AD824" s="207"/>
      <c r="AE824" s="207"/>
    </row>
    <row r="825" ht="14.25" customHeight="1">
      <c r="AD825" s="207"/>
      <c r="AE825" s="207"/>
    </row>
    <row r="826" ht="14.25" customHeight="1">
      <c r="AD826" s="207"/>
      <c r="AE826" s="207"/>
    </row>
    <row r="827" ht="14.25" customHeight="1">
      <c r="AD827" s="207"/>
      <c r="AE827" s="207"/>
    </row>
    <row r="828" ht="14.25" customHeight="1">
      <c r="AD828" s="207"/>
      <c r="AE828" s="207"/>
    </row>
    <row r="829" ht="14.25" customHeight="1">
      <c r="AD829" s="207"/>
      <c r="AE829" s="207"/>
    </row>
    <row r="830" ht="14.25" customHeight="1">
      <c r="AD830" s="207"/>
      <c r="AE830" s="207"/>
    </row>
    <row r="831" ht="14.25" customHeight="1">
      <c r="AD831" s="207"/>
      <c r="AE831" s="207"/>
    </row>
    <row r="832" ht="14.25" customHeight="1">
      <c r="AD832" s="207"/>
      <c r="AE832" s="207"/>
    </row>
    <row r="833" ht="14.25" customHeight="1">
      <c r="AD833" s="207"/>
      <c r="AE833" s="207"/>
    </row>
    <row r="834" ht="14.25" customHeight="1">
      <c r="AD834" s="207"/>
      <c r="AE834" s="207"/>
    </row>
    <row r="835" ht="14.25" customHeight="1">
      <c r="AD835" s="207"/>
      <c r="AE835" s="207"/>
    </row>
    <row r="836" ht="14.25" customHeight="1">
      <c r="AD836" s="207"/>
      <c r="AE836" s="207"/>
    </row>
    <row r="837" ht="14.25" customHeight="1">
      <c r="AD837" s="207"/>
      <c r="AE837" s="207"/>
    </row>
    <row r="838" ht="14.25" customHeight="1">
      <c r="AD838" s="207"/>
      <c r="AE838" s="207"/>
    </row>
    <row r="839" ht="14.25" customHeight="1">
      <c r="AD839" s="207"/>
      <c r="AE839" s="207"/>
    </row>
    <row r="840" ht="14.25" customHeight="1">
      <c r="AD840" s="207"/>
      <c r="AE840" s="207"/>
    </row>
    <row r="841" ht="14.25" customHeight="1">
      <c r="AD841" s="207"/>
      <c r="AE841" s="207"/>
    </row>
    <row r="842" ht="14.25" customHeight="1">
      <c r="AD842" s="207"/>
      <c r="AE842" s="207"/>
    </row>
    <row r="843" ht="14.25" customHeight="1">
      <c r="AD843" s="207"/>
      <c r="AE843" s="207"/>
    </row>
    <row r="844" ht="14.25" customHeight="1">
      <c r="AD844" s="207"/>
      <c r="AE844" s="207"/>
    </row>
    <row r="845" ht="14.25" customHeight="1">
      <c r="AD845" s="207"/>
      <c r="AE845" s="207"/>
    </row>
    <row r="846" ht="14.25" customHeight="1">
      <c r="AD846" s="207"/>
      <c r="AE846" s="207"/>
    </row>
    <row r="847" ht="14.25" customHeight="1">
      <c r="AD847" s="207"/>
      <c r="AE847" s="207"/>
    </row>
    <row r="848" ht="14.25" customHeight="1">
      <c r="AD848" s="207"/>
      <c r="AE848" s="207"/>
    </row>
    <row r="849" ht="14.25" customHeight="1">
      <c r="AD849" s="207"/>
      <c r="AE849" s="207"/>
    </row>
    <row r="850" ht="14.25" customHeight="1">
      <c r="AD850" s="207"/>
      <c r="AE850" s="207"/>
    </row>
    <row r="851" ht="14.25" customHeight="1">
      <c r="AD851" s="207"/>
      <c r="AE851" s="207"/>
    </row>
    <row r="852" ht="14.25" customHeight="1">
      <c r="AD852" s="207"/>
      <c r="AE852" s="207"/>
    </row>
    <row r="853" ht="14.25" customHeight="1">
      <c r="AD853" s="207"/>
      <c r="AE853" s="207"/>
    </row>
    <row r="854" ht="14.25" customHeight="1">
      <c r="AD854" s="207"/>
      <c r="AE854" s="207"/>
    </row>
    <row r="855" ht="14.25" customHeight="1">
      <c r="AD855" s="207"/>
      <c r="AE855" s="207"/>
    </row>
    <row r="856" ht="14.25" customHeight="1">
      <c r="AD856" s="207"/>
      <c r="AE856" s="207"/>
    </row>
    <row r="857" ht="14.25" customHeight="1">
      <c r="AD857" s="207"/>
      <c r="AE857" s="207"/>
    </row>
    <row r="858" ht="14.25" customHeight="1">
      <c r="AD858" s="207"/>
      <c r="AE858" s="207"/>
    </row>
    <row r="859" ht="14.25" customHeight="1">
      <c r="AD859" s="207"/>
      <c r="AE859" s="207"/>
    </row>
    <row r="860" ht="14.25" customHeight="1">
      <c r="AD860" s="207"/>
      <c r="AE860" s="207"/>
    </row>
    <row r="861" ht="14.25" customHeight="1">
      <c r="AD861" s="207"/>
      <c r="AE861" s="207"/>
    </row>
    <row r="862" ht="14.25" customHeight="1">
      <c r="AD862" s="207"/>
      <c r="AE862" s="207"/>
    </row>
    <row r="863" ht="14.25" customHeight="1">
      <c r="AD863" s="207"/>
      <c r="AE863" s="207"/>
    </row>
    <row r="864" ht="14.25" customHeight="1">
      <c r="AD864" s="207"/>
      <c r="AE864" s="207"/>
    </row>
    <row r="865" ht="14.25" customHeight="1">
      <c r="AD865" s="207"/>
      <c r="AE865" s="207"/>
    </row>
    <row r="866" ht="14.25" customHeight="1">
      <c r="AD866" s="207"/>
      <c r="AE866" s="207"/>
    </row>
    <row r="867" ht="14.25" customHeight="1">
      <c r="AD867" s="207"/>
      <c r="AE867" s="207"/>
    </row>
    <row r="868" ht="14.25" customHeight="1">
      <c r="AD868" s="207"/>
      <c r="AE868" s="207"/>
    </row>
    <row r="869" ht="14.25" customHeight="1">
      <c r="AD869" s="207"/>
      <c r="AE869" s="207"/>
    </row>
    <row r="870" ht="14.25" customHeight="1">
      <c r="AD870" s="207"/>
      <c r="AE870" s="207"/>
    </row>
    <row r="871" ht="14.25" customHeight="1">
      <c r="AD871" s="207"/>
      <c r="AE871" s="207"/>
    </row>
    <row r="872" ht="14.25" customHeight="1">
      <c r="AD872" s="207"/>
      <c r="AE872" s="207"/>
    </row>
    <row r="873" ht="14.25" customHeight="1">
      <c r="AD873" s="207"/>
      <c r="AE873" s="207"/>
    </row>
    <row r="874" ht="14.25" customHeight="1">
      <c r="AD874" s="207"/>
      <c r="AE874" s="207"/>
    </row>
    <row r="875" ht="14.25" customHeight="1">
      <c r="AD875" s="207"/>
      <c r="AE875" s="207"/>
    </row>
    <row r="876" ht="14.25" customHeight="1">
      <c r="AD876" s="207"/>
      <c r="AE876" s="207"/>
    </row>
    <row r="877" ht="14.25" customHeight="1">
      <c r="AD877" s="207"/>
      <c r="AE877" s="207"/>
    </row>
    <row r="878" ht="14.25" customHeight="1">
      <c r="AD878" s="207"/>
      <c r="AE878" s="207"/>
    </row>
    <row r="879" ht="14.25" customHeight="1">
      <c r="AD879" s="207"/>
      <c r="AE879" s="207"/>
    </row>
    <row r="880" ht="14.25" customHeight="1">
      <c r="AD880" s="207"/>
      <c r="AE880" s="207"/>
    </row>
    <row r="881" ht="14.25" customHeight="1">
      <c r="AD881" s="207"/>
      <c r="AE881" s="207"/>
    </row>
    <row r="882" ht="14.25" customHeight="1">
      <c r="AD882" s="207"/>
      <c r="AE882" s="207"/>
    </row>
    <row r="883" ht="14.25" customHeight="1">
      <c r="AD883" s="207"/>
      <c r="AE883" s="207"/>
    </row>
    <row r="884" ht="14.25" customHeight="1">
      <c r="AD884" s="207"/>
      <c r="AE884" s="207"/>
    </row>
    <row r="885" ht="14.25" customHeight="1">
      <c r="AD885" s="207"/>
      <c r="AE885" s="207"/>
    </row>
    <row r="886" ht="14.25" customHeight="1">
      <c r="AD886" s="207"/>
      <c r="AE886" s="207"/>
    </row>
    <row r="887" ht="14.25" customHeight="1">
      <c r="AD887" s="207"/>
      <c r="AE887" s="207"/>
    </row>
    <row r="888" ht="14.25" customHeight="1">
      <c r="AD888" s="207"/>
      <c r="AE888" s="207"/>
    </row>
    <row r="889" ht="14.25" customHeight="1">
      <c r="AD889" s="207"/>
      <c r="AE889" s="207"/>
    </row>
    <row r="890" ht="14.25" customHeight="1">
      <c r="AD890" s="207"/>
      <c r="AE890" s="207"/>
    </row>
    <row r="891" ht="14.25" customHeight="1">
      <c r="AD891" s="207"/>
      <c r="AE891" s="207"/>
    </row>
    <row r="892" ht="14.25" customHeight="1">
      <c r="AD892" s="207"/>
      <c r="AE892" s="207"/>
    </row>
    <row r="893" ht="14.25" customHeight="1">
      <c r="AD893" s="207"/>
      <c r="AE893" s="207"/>
    </row>
    <row r="894" ht="14.25" customHeight="1">
      <c r="AD894" s="207"/>
      <c r="AE894" s="207"/>
    </row>
    <row r="895" ht="14.25" customHeight="1">
      <c r="AD895" s="207"/>
      <c r="AE895" s="207"/>
    </row>
    <row r="896" ht="14.25" customHeight="1">
      <c r="AD896" s="207"/>
      <c r="AE896" s="207"/>
    </row>
    <row r="897" ht="14.25" customHeight="1">
      <c r="AD897" s="207"/>
      <c r="AE897" s="207"/>
    </row>
    <row r="898" ht="14.25" customHeight="1">
      <c r="AD898" s="207"/>
      <c r="AE898" s="207"/>
    </row>
    <row r="899" ht="14.25" customHeight="1">
      <c r="AD899" s="207"/>
      <c r="AE899" s="207"/>
    </row>
    <row r="900" ht="14.25" customHeight="1">
      <c r="AD900" s="207"/>
      <c r="AE900" s="207"/>
    </row>
    <row r="901" ht="14.25" customHeight="1">
      <c r="AD901" s="207"/>
      <c r="AE901" s="207"/>
    </row>
    <row r="902" ht="14.25" customHeight="1">
      <c r="AD902" s="207"/>
      <c r="AE902" s="207"/>
    </row>
    <row r="903" ht="14.25" customHeight="1">
      <c r="AD903" s="207"/>
      <c r="AE903" s="207"/>
    </row>
    <row r="904" ht="14.25" customHeight="1">
      <c r="AD904" s="207"/>
      <c r="AE904" s="207"/>
    </row>
    <row r="905" ht="14.25" customHeight="1">
      <c r="AD905" s="207"/>
      <c r="AE905" s="207"/>
    </row>
    <row r="906" ht="14.25" customHeight="1">
      <c r="AD906" s="207"/>
      <c r="AE906" s="207"/>
    </row>
    <row r="907" ht="14.25" customHeight="1">
      <c r="AD907" s="207"/>
      <c r="AE907" s="207"/>
    </row>
    <row r="908" ht="14.25" customHeight="1">
      <c r="AD908" s="207"/>
      <c r="AE908" s="207"/>
    </row>
    <row r="909" ht="14.25" customHeight="1">
      <c r="AD909" s="207"/>
      <c r="AE909" s="207"/>
    </row>
    <row r="910" ht="14.25" customHeight="1">
      <c r="AD910" s="207"/>
      <c r="AE910" s="207"/>
    </row>
    <row r="911" ht="14.25" customHeight="1">
      <c r="AD911" s="207"/>
      <c r="AE911" s="207"/>
    </row>
    <row r="912" ht="14.25" customHeight="1">
      <c r="AD912" s="207"/>
      <c r="AE912" s="207"/>
    </row>
    <row r="913" ht="14.25" customHeight="1">
      <c r="AD913" s="207"/>
      <c r="AE913" s="207"/>
    </row>
    <row r="914" ht="14.25" customHeight="1">
      <c r="AD914" s="207"/>
      <c r="AE914" s="207"/>
    </row>
    <row r="915" ht="14.25" customHeight="1">
      <c r="AD915" s="207"/>
      <c r="AE915" s="207"/>
    </row>
    <row r="916" ht="14.25" customHeight="1">
      <c r="AD916" s="207"/>
      <c r="AE916" s="207"/>
    </row>
    <row r="917" ht="14.25" customHeight="1">
      <c r="AD917" s="207"/>
      <c r="AE917" s="207"/>
    </row>
    <row r="918" ht="14.25" customHeight="1">
      <c r="AD918" s="207"/>
      <c r="AE918" s="207"/>
    </row>
    <row r="919" ht="14.25" customHeight="1">
      <c r="AD919" s="207"/>
      <c r="AE919" s="207"/>
    </row>
    <row r="920" ht="14.25" customHeight="1">
      <c r="AD920" s="207"/>
      <c r="AE920" s="207"/>
    </row>
    <row r="921" ht="14.25" customHeight="1">
      <c r="AD921" s="207"/>
      <c r="AE921" s="207"/>
    </row>
    <row r="922" ht="14.25" customHeight="1">
      <c r="AD922" s="207"/>
      <c r="AE922" s="207"/>
    </row>
    <row r="923" ht="14.25" customHeight="1">
      <c r="AD923" s="207"/>
      <c r="AE923" s="207"/>
    </row>
    <row r="924" ht="14.25" customHeight="1">
      <c r="AD924" s="207"/>
      <c r="AE924" s="207"/>
    </row>
    <row r="925" ht="14.25" customHeight="1">
      <c r="AD925" s="207"/>
      <c r="AE925" s="207"/>
    </row>
    <row r="926" ht="14.25" customHeight="1">
      <c r="AD926" s="207"/>
      <c r="AE926" s="207"/>
    </row>
    <row r="927" ht="14.25" customHeight="1">
      <c r="AD927" s="207"/>
      <c r="AE927" s="207"/>
    </row>
    <row r="928" ht="14.25" customHeight="1">
      <c r="AD928" s="207"/>
      <c r="AE928" s="207"/>
    </row>
    <row r="929" ht="14.25" customHeight="1">
      <c r="AD929" s="207"/>
      <c r="AE929" s="207"/>
    </row>
    <row r="930" ht="14.25" customHeight="1">
      <c r="AD930" s="207"/>
      <c r="AE930" s="207"/>
    </row>
    <row r="931" ht="14.25" customHeight="1">
      <c r="AD931" s="207"/>
      <c r="AE931" s="207"/>
    </row>
    <row r="932" ht="14.25" customHeight="1">
      <c r="AD932" s="207"/>
      <c r="AE932" s="207"/>
    </row>
    <row r="933" ht="14.25" customHeight="1">
      <c r="AD933" s="207"/>
      <c r="AE933" s="207"/>
    </row>
    <row r="934" ht="14.25" customHeight="1">
      <c r="AD934" s="207"/>
      <c r="AE934" s="207"/>
    </row>
    <row r="935" ht="14.25" customHeight="1">
      <c r="AD935" s="207"/>
      <c r="AE935" s="207"/>
    </row>
    <row r="936" ht="14.25" customHeight="1">
      <c r="AD936" s="207"/>
      <c r="AE936" s="207"/>
    </row>
    <row r="937" ht="14.25" customHeight="1">
      <c r="AD937" s="207"/>
      <c r="AE937" s="207"/>
    </row>
    <row r="938" ht="14.25" customHeight="1">
      <c r="AD938" s="207"/>
      <c r="AE938" s="207"/>
    </row>
    <row r="939" ht="14.25" customHeight="1">
      <c r="AD939" s="207"/>
      <c r="AE939" s="207"/>
    </row>
    <row r="940" ht="14.25" customHeight="1">
      <c r="AD940" s="207"/>
      <c r="AE940" s="207"/>
    </row>
    <row r="941" ht="14.25" customHeight="1">
      <c r="AD941" s="207"/>
      <c r="AE941" s="207"/>
    </row>
    <row r="942" ht="14.25" customHeight="1">
      <c r="AD942" s="207"/>
      <c r="AE942" s="207"/>
    </row>
    <row r="943" ht="14.25" customHeight="1">
      <c r="AD943" s="207"/>
      <c r="AE943" s="207"/>
    </row>
    <row r="944" ht="14.25" customHeight="1">
      <c r="AD944" s="207"/>
      <c r="AE944" s="207"/>
    </row>
    <row r="945" ht="14.25" customHeight="1">
      <c r="AD945" s="207"/>
      <c r="AE945" s="207"/>
    </row>
    <row r="946" ht="14.25" customHeight="1">
      <c r="AD946" s="207"/>
      <c r="AE946" s="207"/>
    </row>
    <row r="947" ht="14.25" customHeight="1">
      <c r="AD947" s="207"/>
      <c r="AE947" s="207"/>
    </row>
    <row r="948" ht="14.25" customHeight="1">
      <c r="AD948" s="207"/>
      <c r="AE948" s="207"/>
    </row>
    <row r="949" ht="14.25" customHeight="1">
      <c r="AD949" s="207"/>
      <c r="AE949" s="207"/>
    </row>
    <row r="950" ht="14.25" customHeight="1">
      <c r="AD950" s="207"/>
      <c r="AE950" s="207"/>
    </row>
    <row r="951" ht="14.25" customHeight="1">
      <c r="AD951" s="207"/>
      <c r="AE951" s="207"/>
    </row>
    <row r="952" ht="14.25" customHeight="1">
      <c r="AD952" s="207"/>
      <c r="AE952" s="207"/>
    </row>
    <row r="953" ht="14.25" customHeight="1">
      <c r="AD953" s="207"/>
      <c r="AE953" s="207"/>
    </row>
    <row r="954" ht="14.25" customHeight="1">
      <c r="AD954" s="207"/>
      <c r="AE954" s="207"/>
    </row>
    <row r="955" ht="14.25" customHeight="1">
      <c r="AD955" s="207"/>
      <c r="AE955" s="207"/>
    </row>
    <row r="956" ht="14.25" customHeight="1">
      <c r="AD956" s="207"/>
      <c r="AE956" s="207"/>
    </row>
    <row r="957" ht="14.25" customHeight="1">
      <c r="AD957" s="207"/>
      <c r="AE957" s="207"/>
    </row>
    <row r="958" ht="14.25" customHeight="1">
      <c r="AD958" s="207"/>
      <c r="AE958" s="207"/>
    </row>
    <row r="959" ht="14.25" customHeight="1">
      <c r="AD959" s="207"/>
      <c r="AE959" s="207"/>
    </row>
    <row r="960" ht="14.25" customHeight="1">
      <c r="AD960" s="207"/>
      <c r="AE960" s="207"/>
    </row>
    <row r="961" ht="14.25" customHeight="1">
      <c r="AD961" s="207"/>
      <c r="AE961" s="207"/>
    </row>
    <row r="962" ht="14.25" customHeight="1">
      <c r="AD962" s="207"/>
      <c r="AE962" s="207"/>
    </row>
    <row r="963" ht="14.25" customHeight="1">
      <c r="AD963" s="207"/>
      <c r="AE963" s="207"/>
    </row>
    <row r="964" ht="14.25" customHeight="1">
      <c r="AD964" s="207"/>
      <c r="AE964" s="207"/>
    </row>
    <row r="965" ht="14.25" customHeight="1">
      <c r="AD965" s="207"/>
      <c r="AE965" s="207"/>
    </row>
    <row r="966" ht="14.25" customHeight="1">
      <c r="AD966" s="207"/>
      <c r="AE966" s="207"/>
    </row>
    <row r="967" ht="14.25" customHeight="1">
      <c r="AD967" s="207"/>
      <c r="AE967" s="207"/>
    </row>
    <row r="968" ht="14.25" customHeight="1">
      <c r="AD968" s="207"/>
      <c r="AE968" s="207"/>
    </row>
    <row r="969" ht="14.25" customHeight="1">
      <c r="AD969" s="207"/>
      <c r="AE969" s="207"/>
    </row>
    <row r="970" ht="14.25" customHeight="1">
      <c r="AD970" s="207"/>
      <c r="AE970" s="207"/>
    </row>
    <row r="971" ht="14.25" customHeight="1">
      <c r="AD971" s="207"/>
      <c r="AE971" s="207"/>
    </row>
    <row r="972" ht="14.25" customHeight="1">
      <c r="AD972" s="207"/>
      <c r="AE972" s="207"/>
    </row>
    <row r="973" ht="14.25" customHeight="1">
      <c r="AD973" s="207"/>
      <c r="AE973" s="207"/>
    </row>
    <row r="974" ht="14.25" customHeight="1">
      <c r="AD974" s="207"/>
      <c r="AE974" s="207"/>
    </row>
    <row r="975" ht="14.25" customHeight="1">
      <c r="AD975" s="207"/>
      <c r="AE975" s="207"/>
    </row>
    <row r="976" ht="14.25" customHeight="1">
      <c r="AD976" s="207"/>
      <c r="AE976" s="207"/>
    </row>
    <row r="977" ht="14.25" customHeight="1">
      <c r="AD977" s="207"/>
      <c r="AE977" s="207"/>
    </row>
    <row r="978" ht="14.25" customHeight="1">
      <c r="AD978" s="207"/>
      <c r="AE978" s="207"/>
    </row>
    <row r="979" ht="14.25" customHeight="1">
      <c r="AD979" s="207"/>
      <c r="AE979" s="207"/>
    </row>
    <row r="980" ht="14.25" customHeight="1">
      <c r="AD980" s="207"/>
      <c r="AE980" s="207"/>
    </row>
    <row r="981" ht="14.25" customHeight="1">
      <c r="AD981" s="207"/>
      <c r="AE981" s="207"/>
    </row>
    <row r="982" ht="14.25" customHeight="1">
      <c r="AD982" s="207"/>
      <c r="AE982" s="207"/>
    </row>
    <row r="983" ht="14.25" customHeight="1">
      <c r="AD983" s="207"/>
      <c r="AE983" s="207"/>
    </row>
    <row r="984" ht="14.25" customHeight="1">
      <c r="AD984" s="207"/>
      <c r="AE984" s="207"/>
    </row>
    <row r="985" ht="14.25" customHeight="1">
      <c r="AD985" s="207"/>
      <c r="AE985" s="207"/>
    </row>
    <row r="986" ht="14.25" customHeight="1">
      <c r="AD986" s="207"/>
      <c r="AE986" s="207"/>
    </row>
    <row r="987" ht="14.25" customHeight="1">
      <c r="AD987" s="207"/>
      <c r="AE987" s="207"/>
    </row>
    <row r="988" ht="14.25" customHeight="1">
      <c r="AD988" s="207"/>
      <c r="AE988" s="207"/>
    </row>
    <row r="989" ht="14.25" customHeight="1">
      <c r="AD989" s="207"/>
      <c r="AE989" s="207"/>
    </row>
    <row r="990" ht="14.25" customHeight="1">
      <c r="AD990" s="207"/>
      <c r="AE990" s="207"/>
    </row>
    <row r="991" ht="14.25" customHeight="1">
      <c r="AD991" s="207"/>
      <c r="AE991" s="207"/>
    </row>
    <row r="992" ht="14.25" customHeight="1">
      <c r="AD992" s="207"/>
      <c r="AE992" s="207"/>
    </row>
    <row r="993" ht="14.25" customHeight="1">
      <c r="AD993" s="207"/>
      <c r="AE993" s="207"/>
    </row>
    <row r="994" ht="14.25" customHeight="1">
      <c r="AD994" s="207"/>
      <c r="AE994" s="207"/>
    </row>
    <row r="995" ht="14.25" customHeight="1">
      <c r="AD995" s="207"/>
      <c r="AE995" s="207"/>
    </row>
    <row r="996" ht="14.25" customHeight="1">
      <c r="AD996" s="207"/>
      <c r="AE996" s="207"/>
    </row>
    <row r="997" ht="14.25" customHeight="1">
      <c r="AD997" s="207"/>
      <c r="AE997" s="207"/>
    </row>
  </sheetData>
  <customSheetViews>
    <customSheetView guid="{41EAD126-16FB-4A8D-894A-CEA6439A4201}" filter="1" showAutoFilter="1">
      <autoFilter ref="$A$2:$AR$52"/>
    </customSheetView>
  </customSheetViews>
  <mergeCells count="9">
    <mergeCell ref="AK1:AN1"/>
    <mergeCell ref="AP1:AR1"/>
    <mergeCell ref="D1:E1"/>
    <mergeCell ref="F1:H1"/>
    <mergeCell ref="I1:U1"/>
    <mergeCell ref="V1:X1"/>
    <mergeCell ref="Y1:AC1"/>
    <mergeCell ref="AD1:AG1"/>
    <mergeCell ref="AH1:AJ1"/>
  </mergeCells>
  <conditionalFormatting sqref="AB3:AB51">
    <cfRule type="containsText" dxfId="4" priority="1" operator="containsText" text="SI">
      <formula>NOT(ISERROR(SEARCH(("SI"),(AB3))))</formula>
    </cfRule>
  </conditionalFormatting>
  <conditionalFormatting sqref="AB3:AB51">
    <cfRule type="containsText" dxfId="5" priority="2" operator="containsText" text="NO">
      <formula>NOT(ISERROR(SEARCH(("NO"),(AB3))))</formula>
    </cfRule>
  </conditionalFormatting>
  <conditionalFormatting sqref="AF3:AF51">
    <cfRule type="containsText" dxfId="4" priority="3" operator="containsText" text="SI">
      <formula>NOT(ISERROR(SEARCH(("SI"),(AF3))))</formula>
    </cfRule>
  </conditionalFormatting>
  <conditionalFormatting sqref="AF3:AF51">
    <cfRule type="containsText" dxfId="5" priority="4" operator="containsText" text="NO">
      <formula>NOT(ISERROR(SEARCH(("NO"),(AF3))))</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21.43"/>
    <col customWidth="1" min="2" max="2" width="9.86"/>
    <col customWidth="1" min="3" max="3" width="38.71"/>
    <col customWidth="1" min="4" max="4" width="6.43"/>
    <col customWidth="1" min="5" max="5" width="5.43"/>
    <col customWidth="1" min="6" max="8" width="9.57"/>
    <col customWidth="1" min="9" max="11" width="8.0"/>
    <col customWidth="1" min="12" max="12" width="9.14"/>
    <col customWidth="1" min="13" max="15" width="7.57"/>
    <col customWidth="1" min="16" max="16" width="10.29"/>
    <col customWidth="1" min="17" max="19" width="7.43"/>
    <col customWidth="1" min="20" max="21" width="9.0"/>
    <col customWidth="1" min="22" max="23" width="8.29"/>
    <col customWidth="1" min="24" max="24" width="9.86"/>
    <col customWidth="1" min="25" max="27" width="8.86"/>
    <col customWidth="1" min="28" max="28" width="5.86"/>
    <col customWidth="1" min="29" max="29" width="9.86"/>
    <col customWidth="1" min="30" max="31" width="7.86"/>
    <col customWidth="1" min="32" max="32" width="6.14"/>
    <col customWidth="1" min="33" max="33" width="9.71"/>
    <col customWidth="1" min="34" max="36" width="10.0"/>
    <col customWidth="1" min="37" max="39" width="7.71"/>
    <col customWidth="1" min="40" max="40" width="10.0"/>
    <col customWidth="1" min="41" max="41" width="10.71"/>
    <col customWidth="1" min="42" max="44" width="9.14"/>
  </cols>
  <sheetData>
    <row r="1" ht="68.25" customHeight="1">
      <c r="D1" s="1" t="s">
        <v>350</v>
      </c>
      <c r="E1" s="2"/>
      <c r="F1" s="208" t="s">
        <v>1</v>
      </c>
      <c r="G1" s="4"/>
      <c r="H1" s="5"/>
      <c r="I1" s="6" t="s">
        <v>2</v>
      </c>
      <c r="J1" s="4"/>
      <c r="K1" s="4"/>
      <c r="L1" s="4"/>
      <c r="M1" s="4"/>
      <c r="N1" s="4"/>
      <c r="O1" s="4"/>
      <c r="P1" s="4"/>
      <c r="Q1" s="4"/>
      <c r="R1" s="4"/>
      <c r="S1" s="4"/>
      <c r="T1" s="4"/>
      <c r="U1" s="5"/>
      <c r="V1" s="7" t="s">
        <v>3</v>
      </c>
      <c r="W1" s="4"/>
      <c r="X1" s="5"/>
      <c r="Y1" s="209" t="s">
        <v>162</v>
      </c>
      <c r="Z1" s="4"/>
      <c r="AA1" s="4"/>
      <c r="AB1" s="4"/>
      <c r="AC1" s="5"/>
      <c r="AD1" s="9" t="s">
        <v>5</v>
      </c>
      <c r="AE1" s="4"/>
      <c r="AF1" s="4"/>
      <c r="AG1" s="10"/>
      <c r="AH1" s="11" t="s">
        <v>6</v>
      </c>
      <c r="AI1" s="4"/>
      <c r="AJ1" s="5"/>
      <c r="AK1" s="12" t="s">
        <v>7</v>
      </c>
      <c r="AL1" s="4"/>
      <c r="AM1" s="4"/>
      <c r="AN1" s="5"/>
      <c r="AO1" s="13" t="s">
        <v>8</v>
      </c>
      <c r="AP1" s="14" t="s">
        <v>9</v>
      </c>
      <c r="AQ1" s="4"/>
      <c r="AR1" s="5"/>
    </row>
    <row r="2" ht="29.25" customHeight="1">
      <c r="A2" s="15" t="s">
        <v>10</v>
      </c>
      <c r="B2" s="16" t="s">
        <v>11</v>
      </c>
      <c r="C2" s="16" t="s">
        <v>12</v>
      </c>
      <c r="D2" s="17" t="s">
        <v>13</v>
      </c>
      <c r="E2" s="16" t="s">
        <v>14</v>
      </c>
      <c r="F2" s="127" t="s">
        <v>15</v>
      </c>
      <c r="G2" s="127" t="s">
        <v>16</v>
      </c>
      <c r="H2" s="127" t="s">
        <v>17</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210" t="s">
        <v>34</v>
      </c>
      <c r="Z2" s="210" t="s">
        <v>35</v>
      </c>
      <c r="AA2" s="210" t="s">
        <v>36</v>
      </c>
      <c r="AB2" s="30" t="s">
        <v>37</v>
      </c>
      <c r="AC2" s="30" t="s">
        <v>38</v>
      </c>
      <c r="AD2" s="31" t="s">
        <v>39</v>
      </c>
      <c r="AE2" s="31" t="s">
        <v>40</v>
      </c>
      <c r="AF2" s="31" t="s">
        <v>41</v>
      </c>
      <c r="AG2" s="32" t="s">
        <v>42</v>
      </c>
      <c r="AH2" s="33" t="s">
        <v>43</v>
      </c>
      <c r="AI2" s="33" t="s">
        <v>44</v>
      </c>
      <c r="AJ2" s="34" t="s">
        <v>45</v>
      </c>
      <c r="AK2" s="35" t="s">
        <v>46</v>
      </c>
      <c r="AL2" s="36" t="s">
        <v>47</v>
      </c>
      <c r="AM2" s="37" t="s">
        <v>48</v>
      </c>
      <c r="AN2" s="38" t="s">
        <v>49</v>
      </c>
      <c r="AO2" s="39" t="s">
        <v>50</v>
      </c>
      <c r="AP2" s="40" t="s">
        <v>51</v>
      </c>
      <c r="AQ2" s="40" t="s">
        <v>52</v>
      </c>
      <c r="AR2" s="41" t="s">
        <v>53</v>
      </c>
    </row>
    <row r="3" ht="14.25" customHeight="1">
      <c r="A3" s="128" t="s">
        <v>163</v>
      </c>
      <c r="B3" s="128" t="s">
        <v>163</v>
      </c>
      <c r="C3" s="128" t="s">
        <v>164</v>
      </c>
      <c r="D3" s="211">
        <v>0.0</v>
      </c>
      <c r="E3" s="130">
        <v>1.0</v>
      </c>
      <c r="F3" s="131">
        <v>1.0</v>
      </c>
      <c r="G3" s="131">
        <v>1.0</v>
      </c>
      <c r="H3" s="131">
        <v>1.0</v>
      </c>
      <c r="I3" s="130">
        <v>3.0</v>
      </c>
      <c r="J3" s="130">
        <v>2.0</v>
      </c>
      <c r="K3" s="130">
        <v>5.0</v>
      </c>
      <c r="L3" s="130">
        <f>SUM('P104'!$I3:$K3)</f>
        <v>10</v>
      </c>
      <c r="M3" s="130">
        <v>3.0</v>
      </c>
      <c r="N3" s="130">
        <v>2.0</v>
      </c>
      <c r="O3" s="130">
        <v>5.0</v>
      </c>
      <c r="P3" s="130">
        <f>SUM('P104'!$M3:$O3)</f>
        <v>10</v>
      </c>
      <c r="Q3" s="130">
        <v>3.0</v>
      </c>
      <c r="R3" s="130">
        <v>2.0</v>
      </c>
      <c r="S3" s="130">
        <v>5.0</v>
      </c>
      <c r="T3" s="130">
        <f>SUM('P104'!$Q3:$S3)</f>
        <v>10</v>
      </c>
      <c r="U3" s="130">
        <f>('P104'!$L3+'P104'!$P3+'P104'!$T3)*'P104'!$F3</f>
        <v>30</v>
      </c>
      <c r="V3" s="130">
        <v>5.0</v>
      </c>
      <c r="W3" s="130">
        <v>10.0</v>
      </c>
      <c r="X3" s="132">
        <f>SUM('P104'!$V3:$W3)*'P104'!$G3</f>
        <v>15</v>
      </c>
      <c r="Y3" s="131">
        <v>2.0</v>
      </c>
      <c r="Z3" s="131">
        <v>3.0</v>
      </c>
      <c r="AA3" s="212">
        <v>5.0</v>
      </c>
      <c r="AB3" s="130" t="str">
        <f>IF(SUM('P104'!$Y3:$AA3)&gt;5.9,"SI","NO")</f>
        <v>SI</v>
      </c>
      <c r="AC3" s="131">
        <f>SUM('P104'!$Y3:$AA3)</f>
        <v>10</v>
      </c>
      <c r="AD3" s="130">
        <v>2.0</v>
      </c>
      <c r="AE3" s="130">
        <v>8.0</v>
      </c>
      <c r="AF3" s="130" t="str">
        <f>IF('P104'!$AG3&gt;5.9,"SI","NO")</f>
        <v>SI</v>
      </c>
      <c r="AG3" s="130">
        <f>SUM('P104'!$AD3:$AE3)</f>
        <v>10</v>
      </c>
      <c r="AH3" s="132">
        <v>5.0</v>
      </c>
      <c r="AI3" s="132">
        <v>5.0</v>
      </c>
      <c r="AJ3" s="132">
        <f>AVERAGE('P104'!$AH3:$AI3)*'P104'!$H3</f>
        <v>5</v>
      </c>
      <c r="AK3" s="130">
        <v>1.0</v>
      </c>
      <c r="AL3" s="133">
        <v>10.0</v>
      </c>
      <c r="AM3" s="133">
        <v>10.0</v>
      </c>
      <c r="AN3" s="130">
        <f>(1*('P104'!$AL3+'P104'!$AM3))*'P104'!$AK3</f>
        <v>20</v>
      </c>
      <c r="AO3" s="130">
        <v>10.0</v>
      </c>
      <c r="AP3" s="130">
        <f>SUM('P104'!$U3)</f>
        <v>30</v>
      </c>
      <c r="AQ3" s="134">
        <f>SUM(AN3,AJ3,AG3,AC3,X3,('P104'!$AO3)*H3)</f>
        <v>70</v>
      </c>
      <c r="AR3" s="213">
        <f>'P104'!$AP3+'P104'!$AQ3</f>
        <v>100</v>
      </c>
    </row>
    <row r="4" ht="14.25" customHeight="1">
      <c r="A4" s="137" t="s">
        <v>351</v>
      </c>
      <c r="B4" s="136">
        <v>2.02508784E8</v>
      </c>
      <c r="C4" s="214" t="s">
        <v>352</v>
      </c>
      <c r="D4" s="215">
        <v>2.0</v>
      </c>
      <c r="E4" s="49"/>
      <c r="F4" s="139">
        <v>1.061508904</v>
      </c>
      <c r="G4" s="139">
        <v>1.037870752</v>
      </c>
      <c r="H4" s="139">
        <v>1.06021968</v>
      </c>
      <c r="I4" s="52">
        <v>2.25</v>
      </c>
      <c r="J4" s="53">
        <v>2.0</v>
      </c>
      <c r="K4" s="194">
        <v>4.05</v>
      </c>
      <c r="L4" s="55">
        <f>IF(I4&lt;1.79,SUM(I4:J4), SUM('P104'!$Q4:$S4))</f>
        <v>8.5</v>
      </c>
      <c r="M4" s="52">
        <v>1.75</v>
      </c>
      <c r="N4" s="53">
        <v>2.0</v>
      </c>
      <c r="O4" s="54">
        <v>4.75</v>
      </c>
      <c r="P4" s="55">
        <f>IF(M4&lt;1.79,SUM(M4:N4), SUM('P104'!$Q4:$S4))</f>
        <v>3.75</v>
      </c>
      <c r="Q4" s="52">
        <v>1.75</v>
      </c>
      <c r="R4" s="53">
        <v>2.0</v>
      </c>
      <c r="S4" s="54">
        <v>4.75</v>
      </c>
      <c r="T4" s="55">
        <f>IF(Q4&lt;1.79,SUM(Q4:R4), SUM('P104'!$Q4:$S4))</f>
        <v>3.75</v>
      </c>
      <c r="U4" s="56">
        <f>('P104'!$L4+'P104'!$P4+'P104'!$T4)*'P104'!$F4</f>
        <v>16.98414246</v>
      </c>
      <c r="V4" s="57">
        <v>4.45</v>
      </c>
      <c r="W4" s="57">
        <v>6.4</v>
      </c>
      <c r="X4" s="58">
        <f>SUM('P104'!$V4:$W4)*'P104'!$G4</f>
        <v>11.26089766</v>
      </c>
      <c r="Y4" s="216">
        <v>1.0</v>
      </c>
      <c r="Z4" s="216">
        <v>1.5</v>
      </c>
      <c r="AA4" s="216">
        <v>2.5</v>
      </c>
      <c r="AB4" s="60" t="str">
        <f>IF(SUM('P104'!$Y4:$AA4)&gt;5.9,"SI","NO")</f>
        <v>NO</v>
      </c>
      <c r="AC4" s="61">
        <f>SUM('P104'!$Y4:$AA4)</f>
        <v>5</v>
      </c>
      <c r="AD4" s="62">
        <v>1.5</v>
      </c>
      <c r="AE4" s="62">
        <v>3.0</v>
      </c>
      <c r="AF4" s="63" t="str">
        <f>IF('P104'!$AG4&gt;5.9,"SI","NO")</f>
        <v>NO</v>
      </c>
      <c r="AG4" s="64">
        <f>SUM('P104'!$AD4:$AE4)</f>
        <v>4.5</v>
      </c>
      <c r="AH4" s="141">
        <f>IF('P104'!$AF4="NO",0," ")</f>
        <v>0</v>
      </c>
      <c r="AI4" s="141">
        <f>IF('P104'!$AF4="NO",0," ")</f>
        <v>0</v>
      </c>
      <c r="AJ4" s="66">
        <f>AVERAGE('P104'!$AH4:$AI4)*'P104'!$H4</f>
        <v>0</v>
      </c>
      <c r="AK4" s="142">
        <v>0.0</v>
      </c>
      <c r="AL4" s="143">
        <v>0.0</v>
      </c>
      <c r="AM4" s="144">
        <v>0.0</v>
      </c>
      <c r="AN4" s="130">
        <f>(1*('P104'!$AL4+'P104'!$AM4))*'P104'!$AK4</f>
        <v>0</v>
      </c>
      <c r="AO4" s="70">
        <v>6.0</v>
      </c>
      <c r="AP4" s="71">
        <f>SUM('P104'!$U4)</f>
        <v>16.98414246</v>
      </c>
      <c r="AQ4" s="134">
        <f>SUM(AN4,AJ4,AG4,AC4,X4,('P104'!$AO4)*H4)</f>
        <v>27.12221574</v>
      </c>
      <c r="AR4" s="217">
        <f>'P104'!$AP4+'P104'!$AQ4</f>
        <v>44.1063582</v>
      </c>
    </row>
    <row r="5" ht="14.25" customHeight="1">
      <c r="A5" s="145" t="s">
        <v>353</v>
      </c>
      <c r="B5" s="146">
        <v>2.02500914E8</v>
      </c>
      <c r="C5" s="218" t="s">
        <v>354</v>
      </c>
      <c r="D5" s="219">
        <v>4.0</v>
      </c>
      <c r="E5" s="49"/>
      <c r="F5" s="139">
        <v>0.904534034</v>
      </c>
      <c r="G5" s="139">
        <v>0.765587619</v>
      </c>
      <c r="H5" s="139">
        <v>0.82338697</v>
      </c>
      <c r="I5" s="52">
        <v>3.0</v>
      </c>
      <c r="J5" s="53">
        <v>2.0</v>
      </c>
      <c r="K5" s="54">
        <v>3.95</v>
      </c>
      <c r="L5" s="55">
        <f>IF(I5&lt;1.79,SUM(I5:J5), SUM('P104'!$Q5:$S5))</f>
        <v>5</v>
      </c>
      <c r="M5" s="52">
        <v>3.0</v>
      </c>
      <c r="N5" s="53">
        <v>2.0</v>
      </c>
      <c r="O5" s="54">
        <v>0.0</v>
      </c>
      <c r="P5" s="55">
        <f>IF(M5&lt;1.79,SUM(M5:N5), SUM('P104'!$Q5:$S5))</f>
        <v>5</v>
      </c>
      <c r="Q5" s="52">
        <v>3.0</v>
      </c>
      <c r="R5" s="53">
        <v>2.0</v>
      </c>
      <c r="S5" s="54">
        <v>0.0</v>
      </c>
      <c r="T5" s="55">
        <f>IF(Q5&lt;1.79,SUM(Q5:R5), SUM('P104'!$Q5:$S5))</f>
        <v>5</v>
      </c>
      <c r="U5" s="56">
        <f>('P104'!$L5+'P104'!$P5+'P104'!$T5)*'P104'!$F5</f>
        <v>13.56801051</v>
      </c>
      <c r="V5" s="57">
        <v>3.7</v>
      </c>
      <c r="W5" s="57">
        <v>6.6</v>
      </c>
      <c r="X5" s="58">
        <f>SUM('P104'!$V5:$W5)*'P104'!$G5</f>
        <v>7.885552476</v>
      </c>
      <c r="Y5" s="216">
        <v>2.0</v>
      </c>
      <c r="Z5" s="216">
        <v>3.0</v>
      </c>
      <c r="AA5" s="216">
        <v>5.0</v>
      </c>
      <c r="AB5" s="60" t="str">
        <f>IF(SUM('P104'!$Y5:$AA5)&gt;5.9,"SI","NO")</f>
        <v>SI</v>
      </c>
      <c r="AC5" s="61">
        <f>SUM('P104'!$Y5:$AA5)</f>
        <v>10</v>
      </c>
      <c r="AD5" s="62">
        <v>0.25</v>
      </c>
      <c r="AE5" s="62">
        <v>6.0</v>
      </c>
      <c r="AF5" s="63" t="str">
        <f>IF('P104'!$AG5&gt;5.9,"SI","NO")</f>
        <v>SI</v>
      </c>
      <c r="AG5" s="64">
        <f>SUM('P104'!$AD5:$AE5)</f>
        <v>6.25</v>
      </c>
      <c r="AH5" s="65">
        <v>4.5</v>
      </c>
      <c r="AI5" s="65">
        <v>4.5</v>
      </c>
      <c r="AJ5" s="66">
        <f>AVERAGE('P104'!$AH5:$AI5)*'P104'!$H5</f>
        <v>3.705241365</v>
      </c>
      <c r="AK5" s="142">
        <v>1.0</v>
      </c>
      <c r="AL5" s="143">
        <v>0.0</v>
      </c>
      <c r="AM5" s="144">
        <v>0.0</v>
      </c>
      <c r="AN5" s="130">
        <f>(1*('P104'!$AL5+'P104'!$AM5))*'P104'!$AK5</f>
        <v>0</v>
      </c>
      <c r="AO5" s="70">
        <v>8.0</v>
      </c>
      <c r="AP5" s="71">
        <f>SUM('P104'!$U5)</f>
        <v>13.56801051</v>
      </c>
      <c r="AQ5" s="134">
        <f>SUM(AN5,AJ5,AG5,AC5,X5,('P104'!$AO5)*H5)</f>
        <v>34.4278896</v>
      </c>
      <c r="AR5" s="217">
        <f>'P104'!$AP5+'P104'!$AQ5</f>
        <v>47.99590011</v>
      </c>
    </row>
    <row r="6" ht="14.25" customHeight="1">
      <c r="A6" s="137" t="s">
        <v>355</v>
      </c>
      <c r="B6" s="136">
        <v>2.02312005E8</v>
      </c>
      <c r="C6" s="214" t="s">
        <v>356</v>
      </c>
      <c r="D6" s="215">
        <v>10.0</v>
      </c>
      <c r="E6" s="49"/>
      <c r="F6" s="139">
        <v>1.057487385</v>
      </c>
      <c r="G6" s="139">
        <v>1.088075386</v>
      </c>
      <c r="H6" s="139">
        <v>1.10239638</v>
      </c>
      <c r="I6" s="52">
        <v>1.5</v>
      </c>
      <c r="J6" s="53">
        <v>2.0</v>
      </c>
      <c r="K6" s="194">
        <v>4.05</v>
      </c>
      <c r="L6" s="55">
        <f>IF(I6&lt;1.79,SUM(I6:J6), SUM('P104'!$Q6:$S6))</f>
        <v>3.5</v>
      </c>
      <c r="M6" s="52">
        <v>2.25</v>
      </c>
      <c r="N6" s="53">
        <v>2.0</v>
      </c>
      <c r="O6" s="54">
        <v>4.05</v>
      </c>
      <c r="P6" s="55">
        <f>IF(M6&lt;1.79,SUM(M6:N6), SUM('P104'!$Q6:$S6))</f>
        <v>8.3</v>
      </c>
      <c r="Q6" s="52">
        <v>2.25</v>
      </c>
      <c r="R6" s="53">
        <v>2.0</v>
      </c>
      <c r="S6" s="54">
        <v>4.05</v>
      </c>
      <c r="T6" s="55">
        <f>IF(Q6&lt;1.79,SUM(Q6:R6), SUM('P104'!$Q6:$S6))</f>
        <v>8.3</v>
      </c>
      <c r="U6" s="56">
        <f>('P104'!$L6+'P104'!$P6+'P104'!$T6)*'P104'!$F6</f>
        <v>21.25549644</v>
      </c>
      <c r="V6" s="57">
        <v>3.8</v>
      </c>
      <c r="W6" s="57">
        <v>6.2</v>
      </c>
      <c r="X6" s="58">
        <f>SUM('P104'!$V6:$W6)*'P104'!$G6</f>
        <v>10.88075386</v>
      </c>
      <c r="Y6" s="216">
        <v>1.0</v>
      </c>
      <c r="Z6" s="216">
        <v>3.0</v>
      </c>
      <c r="AA6" s="216">
        <v>2.5</v>
      </c>
      <c r="AB6" s="60" t="str">
        <f>IF(SUM('P104'!$Y6:$AA6)&gt;5.9,"SI","NO")</f>
        <v>SI</v>
      </c>
      <c r="AC6" s="61">
        <f>SUM('P104'!$Y6:$AA6)</f>
        <v>6.5</v>
      </c>
      <c r="AD6" s="62">
        <v>2.0</v>
      </c>
      <c r="AE6" s="62">
        <v>3.0</v>
      </c>
      <c r="AF6" s="63" t="str">
        <f>IF('P104'!$AG6&gt;5.9,"SI","NO")</f>
        <v>NO</v>
      </c>
      <c r="AG6" s="64">
        <f>SUM('P104'!$AD6:$AE6)</f>
        <v>5</v>
      </c>
      <c r="AH6" s="141">
        <f>IF('P104'!$AF6="NO",0," ")</f>
        <v>0</v>
      </c>
      <c r="AI6" s="141">
        <f>IF('P104'!$AF6="NO",0," ")</f>
        <v>0</v>
      </c>
      <c r="AJ6" s="66">
        <f>AVERAGE('P104'!$AH6:$AI6)*'P104'!$H6</f>
        <v>0</v>
      </c>
      <c r="AK6" s="142">
        <v>0.0</v>
      </c>
      <c r="AL6" s="143">
        <v>0.0</v>
      </c>
      <c r="AM6" s="144">
        <v>0.0</v>
      </c>
      <c r="AN6" s="130">
        <f>(1*('P104'!$AL6+'P104'!$AM6))*'P104'!$AK6</f>
        <v>0</v>
      </c>
      <c r="AO6" s="70">
        <v>5.0</v>
      </c>
      <c r="AP6" s="71">
        <f>SUM('P104'!$U6)</f>
        <v>21.25549644</v>
      </c>
      <c r="AQ6" s="134">
        <f>SUM(AN6,AJ6,AG6,AC6,X6,('P104'!$AO6)*H6)</f>
        <v>27.89273576</v>
      </c>
      <c r="AR6" s="217">
        <f>'P104'!$AP6+'P104'!$AQ6</f>
        <v>49.1482322</v>
      </c>
    </row>
    <row r="7" ht="14.25" customHeight="1">
      <c r="A7" s="145" t="s">
        <v>357</v>
      </c>
      <c r="B7" s="146">
        <v>2.02406815E8</v>
      </c>
      <c r="C7" s="218" t="s">
        <v>358</v>
      </c>
      <c r="D7" s="219">
        <v>1.0</v>
      </c>
      <c r="E7" s="49"/>
      <c r="F7" s="139">
        <v>0.941357449</v>
      </c>
      <c r="G7" s="139">
        <v>1.016566561</v>
      </c>
      <c r="H7" s="139">
        <v>1.023005807</v>
      </c>
      <c r="I7" s="52">
        <v>1.5</v>
      </c>
      <c r="J7" s="53">
        <v>2.0</v>
      </c>
      <c r="K7" s="54">
        <v>4.6</v>
      </c>
      <c r="L7" s="55">
        <f>IF(I7&lt;1.79,SUM(I7:J7), SUM('P104'!$Q7:$S7))</f>
        <v>3.5</v>
      </c>
      <c r="M7" s="52">
        <v>2.75</v>
      </c>
      <c r="N7" s="53">
        <v>2.0</v>
      </c>
      <c r="O7" s="54">
        <v>4.1</v>
      </c>
      <c r="P7" s="55">
        <f>IF(M7&lt;1.79,SUM(M7:N7), SUM('P104'!$Q7:$S7))</f>
        <v>8.85</v>
      </c>
      <c r="Q7" s="52">
        <v>2.75</v>
      </c>
      <c r="R7" s="53">
        <v>2.0</v>
      </c>
      <c r="S7" s="54">
        <v>4.1</v>
      </c>
      <c r="T7" s="55">
        <f>IF(Q7&lt;1.79,SUM(Q7:R7), SUM('P104'!$Q7:$S7))</f>
        <v>8.85</v>
      </c>
      <c r="U7" s="56">
        <f>('P104'!$L7+'P104'!$P7+'P104'!$T7)*'P104'!$F7</f>
        <v>19.95677792</v>
      </c>
      <c r="V7" s="57">
        <v>2.85</v>
      </c>
      <c r="W7" s="57">
        <v>5.4</v>
      </c>
      <c r="X7" s="58">
        <f>SUM('P104'!$V7:$W7)*'P104'!$G7</f>
        <v>8.386674128</v>
      </c>
      <c r="Y7" s="216">
        <v>0.5</v>
      </c>
      <c r="Z7" s="216">
        <v>0.0</v>
      </c>
      <c r="AA7" s="216">
        <v>0.0</v>
      </c>
      <c r="AB7" s="60" t="str">
        <f>IF(SUM('P104'!$Y7:$AA7)&gt;5.9,"SI","NO")</f>
        <v>NO</v>
      </c>
      <c r="AC7" s="61">
        <f>SUM('P104'!$Y7:$AA7)</f>
        <v>0.5</v>
      </c>
      <c r="AD7" s="62">
        <v>2.0</v>
      </c>
      <c r="AE7" s="62">
        <v>6.0</v>
      </c>
      <c r="AF7" s="63" t="str">
        <f>IF('P104'!$AG7&gt;5.9,"SI","NO")</f>
        <v>SI</v>
      </c>
      <c r="AG7" s="64">
        <f>SUM('P104'!$AD7:$AE7)</f>
        <v>8</v>
      </c>
      <c r="AH7" s="65">
        <v>4.5</v>
      </c>
      <c r="AI7" s="65">
        <v>5.0</v>
      </c>
      <c r="AJ7" s="66">
        <f>AVERAGE('P104'!$AH16:$AI16)*'P104'!$H16</f>
        <v>4.261868373</v>
      </c>
      <c r="AK7" s="142">
        <v>1.0</v>
      </c>
      <c r="AL7" s="143">
        <v>0.0</v>
      </c>
      <c r="AM7" s="144">
        <v>0.0</v>
      </c>
      <c r="AN7" s="130">
        <f>(1*('P104'!$AL7+'P104'!$AM7))*'P104'!$AK7</f>
        <v>0</v>
      </c>
      <c r="AO7" s="70">
        <v>7.25</v>
      </c>
      <c r="AP7" s="71">
        <f>SUM('P104'!$U7)</f>
        <v>19.95677792</v>
      </c>
      <c r="AQ7" s="134">
        <f>SUM(AN7,AJ7,AG7,AC7,X7,('P104'!$AO7)*H7)</f>
        <v>28.5653346</v>
      </c>
      <c r="AR7" s="217">
        <f>'P104'!$AP7+'P104'!$AQ7</f>
        <v>48.52211252</v>
      </c>
    </row>
    <row r="8" ht="14.25" customHeight="1">
      <c r="A8" s="137" t="s">
        <v>359</v>
      </c>
      <c r="B8" s="136">
        <v>2.02313664E8</v>
      </c>
      <c r="C8" s="214" t="s">
        <v>360</v>
      </c>
      <c r="D8" s="215">
        <v>7.0</v>
      </c>
      <c r="E8" s="49"/>
      <c r="F8" s="139">
        <v>0.985431063</v>
      </c>
      <c r="G8" s="139">
        <v>0.951365682</v>
      </c>
      <c r="H8" s="139">
        <v>0.92456475</v>
      </c>
      <c r="I8" s="52">
        <v>3.0</v>
      </c>
      <c r="J8" s="53">
        <v>2.0</v>
      </c>
      <c r="K8" s="54">
        <v>3.8</v>
      </c>
      <c r="L8" s="55">
        <f>IF(I8&lt;1.79,SUM(I8:J8), SUM('P104'!$Q8:$S8))</f>
        <v>7.75</v>
      </c>
      <c r="M8" s="52">
        <v>2.25</v>
      </c>
      <c r="N8" s="53">
        <v>2.0</v>
      </c>
      <c r="O8" s="54">
        <v>3.5</v>
      </c>
      <c r="P8" s="55">
        <f>IF(M8&lt;1.79,SUM(M8:N8), SUM('P104'!$Q8:$S8))</f>
        <v>7.75</v>
      </c>
      <c r="Q8" s="52">
        <v>2.25</v>
      </c>
      <c r="R8" s="53">
        <v>2.0</v>
      </c>
      <c r="S8" s="54">
        <v>3.5</v>
      </c>
      <c r="T8" s="55">
        <f>IF(Q8&lt;1.79,SUM(Q8:R8), SUM('P104'!$Q8:$S8))</f>
        <v>7.75</v>
      </c>
      <c r="U8" s="56">
        <f>('P104'!$L8+'P104'!$P8+'P104'!$T8)*'P104'!$F8</f>
        <v>22.91127221</v>
      </c>
      <c r="V8" s="57">
        <v>3.8</v>
      </c>
      <c r="W8" s="57">
        <v>6.2</v>
      </c>
      <c r="X8" s="58">
        <f>SUM('P104'!$V8:$W8)*'P104'!$G8</f>
        <v>9.51365682</v>
      </c>
      <c r="Y8" s="216">
        <v>1.5</v>
      </c>
      <c r="Z8" s="216">
        <v>0.0</v>
      </c>
      <c r="AA8" s="216">
        <v>1.25</v>
      </c>
      <c r="AB8" s="60" t="str">
        <f>IF(SUM('P104'!$Y8:$AA8)&gt;5.9,"SI","NO")</f>
        <v>NO</v>
      </c>
      <c r="AC8" s="61">
        <f>SUM('P104'!$Y8:$AA8)</f>
        <v>2.75</v>
      </c>
      <c r="AD8" s="62">
        <v>2.0</v>
      </c>
      <c r="AE8" s="62">
        <v>3.0</v>
      </c>
      <c r="AF8" s="63" t="str">
        <f>IF('P104'!$AG8&gt;5.9,"SI","NO")</f>
        <v>NO</v>
      </c>
      <c r="AG8" s="64">
        <f>SUM('P104'!$AD8:$AE8)</f>
        <v>5</v>
      </c>
      <c r="AH8" s="141">
        <f>IF('P104'!$AF8="NO",0," ")</f>
        <v>0</v>
      </c>
      <c r="AI8" s="141">
        <f>IF('P104'!$AF8="NO",0," ")</f>
        <v>0</v>
      </c>
      <c r="AJ8" s="66">
        <f>AVERAGE('P104'!$AH8:$AI8)*'P104'!$H8</f>
        <v>0</v>
      </c>
      <c r="AK8" s="142">
        <v>0.0</v>
      </c>
      <c r="AL8" s="143">
        <v>0.0</v>
      </c>
      <c r="AM8" s="144">
        <v>0.0</v>
      </c>
      <c r="AN8" s="130">
        <f>(1*('P104'!$AL8+'P104'!$AM8))*'P104'!$AK8</f>
        <v>0</v>
      </c>
      <c r="AO8" s="70">
        <v>6.5</v>
      </c>
      <c r="AP8" s="71">
        <f>SUM('P104'!$U8)</f>
        <v>22.91127221</v>
      </c>
      <c r="AQ8" s="134">
        <f>SUM(AN8,AJ8,AG8,AC8,X8,('P104'!$AO8)*H8)</f>
        <v>23.2733277</v>
      </c>
      <c r="AR8" s="217">
        <f>'P104'!$AP8+'P104'!$AQ8</f>
        <v>46.18459991</v>
      </c>
    </row>
    <row r="9" ht="14.25" customHeight="1">
      <c r="A9" s="145" t="s">
        <v>361</v>
      </c>
      <c r="B9" s="146">
        <v>2.02410064E8</v>
      </c>
      <c r="C9" s="218" t="s">
        <v>362</v>
      </c>
      <c r="D9" s="219">
        <v>9.0</v>
      </c>
      <c r="E9" s="49"/>
      <c r="F9" s="139">
        <v>0.843973046</v>
      </c>
      <c r="G9" s="139">
        <v>0.383570641</v>
      </c>
      <c r="H9" s="139">
        <v>0.5</v>
      </c>
      <c r="I9" s="52">
        <v>1.5</v>
      </c>
      <c r="J9" s="53">
        <v>2.0</v>
      </c>
      <c r="K9" s="54">
        <v>4.5</v>
      </c>
      <c r="L9" s="55">
        <f>IF(I9&lt;1.79,SUM(I9:J9), SUM('P104'!$Q9:$S9))</f>
        <v>3.5</v>
      </c>
      <c r="M9" s="52">
        <v>0.0</v>
      </c>
      <c r="N9" s="53">
        <v>2.0</v>
      </c>
      <c r="O9" s="54">
        <v>4.5</v>
      </c>
      <c r="P9" s="55">
        <f>IF(M9&lt;1.79,SUM(M9:N9), SUM('P104'!$Q9:$S9))</f>
        <v>2</v>
      </c>
      <c r="Q9" s="75">
        <v>0.0</v>
      </c>
      <c r="R9" s="53">
        <v>2.0</v>
      </c>
      <c r="S9" s="54">
        <v>4.5</v>
      </c>
      <c r="T9" s="55">
        <f>IF(Q9&lt;1.79,SUM(Q9:R9), SUM('P104'!$Q9:$S9))</f>
        <v>2</v>
      </c>
      <c r="U9" s="56">
        <f>('P104'!$L9+'P104'!$P9+'P104'!$T9)*'P104'!$F9</f>
        <v>6.329797845</v>
      </c>
      <c r="V9" s="57">
        <v>3.7</v>
      </c>
      <c r="W9" s="57">
        <v>6.3</v>
      </c>
      <c r="X9" s="58">
        <f>SUM('P104'!$V9:$W9)*'P104'!$G9</f>
        <v>3.83570641</v>
      </c>
      <c r="Y9" s="216">
        <v>1.0</v>
      </c>
      <c r="Z9" s="216">
        <v>0.0</v>
      </c>
      <c r="AA9" s="220">
        <v>0.0</v>
      </c>
      <c r="AB9" s="60" t="str">
        <f>IF(SUM('P104'!$Y9:$AA9)&gt;5.9,"SI","NO")</f>
        <v>NO</v>
      </c>
      <c r="AC9" s="61">
        <f>SUM('P104'!$Y9:$AA9)</f>
        <v>1</v>
      </c>
      <c r="AD9" s="62">
        <v>2.0</v>
      </c>
      <c r="AE9" s="62">
        <v>3.0</v>
      </c>
      <c r="AF9" s="63" t="str">
        <f>IF('P104'!$AG9&gt;5.9,"SI","NO")</f>
        <v>NO</v>
      </c>
      <c r="AG9" s="64">
        <f>SUM('P104'!$AD9:$AE9)</f>
        <v>5</v>
      </c>
      <c r="AH9" s="141">
        <f>IF('P104'!$AF9="NO",0," ")</f>
        <v>0</v>
      </c>
      <c r="AI9" s="141">
        <f>IF('P104'!$AF9="NO",0," ")</f>
        <v>0</v>
      </c>
      <c r="AJ9" s="66">
        <f>AVERAGE('P104'!$AH9:$AI9)*'P104'!$H9</f>
        <v>0</v>
      </c>
      <c r="AK9" s="142">
        <v>0.0</v>
      </c>
      <c r="AL9" s="143">
        <v>0.0</v>
      </c>
      <c r="AM9" s="144">
        <v>0.0</v>
      </c>
      <c r="AN9" s="130">
        <f>(1*('P104'!$AL9+'P104'!$AM9))*'P104'!$AK9</f>
        <v>0</v>
      </c>
      <c r="AO9" s="70">
        <v>6.5</v>
      </c>
      <c r="AP9" s="71">
        <f>SUM('P104'!$U9)</f>
        <v>6.329797845</v>
      </c>
      <c r="AQ9" s="134">
        <f>SUM(AN9,AJ9,AG9,AC9,X9,('P104'!$AO9)*H9)</f>
        <v>13.08570641</v>
      </c>
      <c r="AR9" s="217">
        <f>'P104'!$AP9+'P104'!$AQ9</f>
        <v>19.41550426</v>
      </c>
    </row>
    <row r="10" ht="14.25" customHeight="1">
      <c r="A10" s="137" t="s">
        <v>363</v>
      </c>
      <c r="B10" s="136">
        <v>2.02510095E8</v>
      </c>
      <c r="C10" s="214" t="s">
        <v>364</v>
      </c>
      <c r="D10" s="215">
        <v>8.0</v>
      </c>
      <c r="E10" s="49"/>
      <c r="F10" s="139">
        <v>1.071782603</v>
      </c>
      <c r="G10" s="139">
        <v>1.077631812</v>
      </c>
      <c r="H10" s="139">
        <v>1.107018607</v>
      </c>
      <c r="I10" s="52">
        <v>2.25</v>
      </c>
      <c r="J10" s="53">
        <v>2.0</v>
      </c>
      <c r="K10" s="54">
        <v>2.0</v>
      </c>
      <c r="L10" s="55">
        <f>IF(I10&lt;1.79,SUM(I10:J10), SUM('P104'!$Q10:$S10))</f>
        <v>7.6</v>
      </c>
      <c r="M10" s="52">
        <v>2.25</v>
      </c>
      <c r="N10" s="53">
        <v>2.0</v>
      </c>
      <c r="O10" s="54">
        <v>3.35</v>
      </c>
      <c r="P10" s="55">
        <f>IF(M10&lt;1.79,SUM(M10:N10), SUM('P104'!$Q10:$S10))</f>
        <v>7.6</v>
      </c>
      <c r="Q10" s="52">
        <v>2.25</v>
      </c>
      <c r="R10" s="53">
        <v>2.0</v>
      </c>
      <c r="S10" s="54">
        <v>3.35</v>
      </c>
      <c r="T10" s="55">
        <f>IF(Q10&lt;1.79,SUM(Q10:R10), SUM('P104'!$Q10:$S10))</f>
        <v>7.6</v>
      </c>
      <c r="U10" s="56">
        <f>('P104'!$L10+'P104'!$P10+'P104'!$T10)*'P104'!$F10</f>
        <v>24.43664335</v>
      </c>
      <c r="V10" s="57">
        <v>3.8</v>
      </c>
      <c r="W10" s="57">
        <v>6.9</v>
      </c>
      <c r="X10" s="58">
        <f>SUM('P104'!$V10:$W10)*'P104'!$G10</f>
        <v>11.53066039</v>
      </c>
      <c r="Y10" s="216">
        <v>1.5</v>
      </c>
      <c r="Z10" s="216">
        <v>0.0</v>
      </c>
      <c r="AA10" s="216">
        <v>1.25</v>
      </c>
      <c r="AB10" s="60" t="str">
        <f>IF(SUM('P104'!$Y10:$AA10)&gt;5.9,"SI","NO")</f>
        <v>NO</v>
      </c>
      <c r="AC10" s="61">
        <f>SUM('P104'!$Y10:$AA10)</f>
        <v>2.75</v>
      </c>
      <c r="AD10" s="62">
        <v>2.0</v>
      </c>
      <c r="AE10" s="62">
        <v>4.0</v>
      </c>
      <c r="AF10" s="63" t="str">
        <f>IF('P104'!$AG10&gt;5.9,"SI","NO")</f>
        <v>SI</v>
      </c>
      <c r="AG10" s="64">
        <f>SUM('P104'!$AD10:$AE10)</f>
        <v>6</v>
      </c>
      <c r="AH10" s="65">
        <v>3.5</v>
      </c>
      <c r="AI10" s="65">
        <v>4.0</v>
      </c>
      <c r="AJ10" s="66">
        <f>AVERAGE('P104'!$AH10:$AI10)*'P104'!$H10</f>
        <v>4.151319776</v>
      </c>
      <c r="AK10" s="142">
        <v>1.0</v>
      </c>
      <c r="AL10" s="143">
        <v>0.0</v>
      </c>
      <c r="AM10" s="144">
        <v>0.0</v>
      </c>
      <c r="AN10" s="130">
        <f>(1*('P104'!$AL10+'P104'!$AM10))*'P104'!$AK10</f>
        <v>0</v>
      </c>
      <c r="AO10" s="70">
        <v>6.25</v>
      </c>
      <c r="AP10" s="71">
        <f>SUM('P104'!$U10)</f>
        <v>24.43664335</v>
      </c>
      <c r="AQ10" s="134">
        <f>SUM(AN10,AJ10,AG10,AC10,X10,('P104'!$AO10)*H10)</f>
        <v>31.35084646</v>
      </c>
      <c r="AR10" s="217">
        <f>'P104'!$AP10+'P104'!$AQ10</f>
        <v>55.78748981</v>
      </c>
    </row>
    <row r="11" ht="14.25" customHeight="1">
      <c r="A11" s="145" t="s">
        <v>365</v>
      </c>
      <c r="B11" s="146">
        <v>2.02503306E8</v>
      </c>
      <c r="C11" s="218" t="s">
        <v>366</v>
      </c>
      <c r="D11" s="219">
        <v>9.0</v>
      </c>
      <c r="E11" s="49"/>
      <c r="F11" s="139">
        <v>1.089564518</v>
      </c>
      <c r="G11" s="139">
        <v>1.197698943</v>
      </c>
      <c r="H11" s="139">
        <v>0.5</v>
      </c>
      <c r="I11" s="52">
        <v>0.75</v>
      </c>
      <c r="J11" s="53">
        <v>2.0</v>
      </c>
      <c r="K11" s="54">
        <v>4.5</v>
      </c>
      <c r="L11" s="55">
        <f>IF(I11&lt;1.79,SUM(I11:J11), SUM('P104'!$Q11:$S11))</f>
        <v>2.75</v>
      </c>
      <c r="M11" s="52">
        <v>0.75</v>
      </c>
      <c r="N11" s="53">
        <v>2.0</v>
      </c>
      <c r="O11" s="54">
        <v>4.5</v>
      </c>
      <c r="P11" s="55">
        <f>IF(M11&lt;1.79,SUM(M11:N11), SUM('P104'!$Q11:$S11))</f>
        <v>2.75</v>
      </c>
      <c r="Q11" s="52">
        <v>0.75</v>
      </c>
      <c r="R11" s="53">
        <v>2.0</v>
      </c>
      <c r="S11" s="54">
        <v>4.5</v>
      </c>
      <c r="T11" s="55">
        <f>IF(Q11&lt;1.79,SUM(Q11:R11), SUM('P104'!$Q11:$S11))</f>
        <v>2.75</v>
      </c>
      <c r="U11" s="56">
        <f>('P104'!$L11+'P104'!$P11+'P104'!$T11)*'P104'!$F11</f>
        <v>8.988907274</v>
      </c>
      <c r="V11" s="57">
        <v>3.7</v>
      </c>
      <c r="W11" s="57">
        <v>6.3</v>
      </c>
      <c r="X11" s="58">
        <f>SUM('P104'!$V11:$W11)*'P104'!$G11</f>
        <v>11.97698943</v>
      </c>
      <c r="Y11" s="216">
        <v>1.0</v>
      </c>
      <c r="Z11" s="216">
        <v>1.5</v>
      </c>
      <c r="AA11" s="216">
        <v>3.75</v>
      </c>
      <c r="AB11" s="60" t="str">
        <f>IF(SUM('P104'!$Y11:$AA11)&gt;5.9,"SI","NO")</f>
        <v>SI</v>
      </c>
      <c r="AC11" s="61">
        <f>SUM('P104'!$Y11:$AA11)</f>
        <v>6.25</v>
      </c>
      <c r="AD11" s="62">
        <v>2.0</v>
      </c>
      <c r="AE11" s="62">
        <v>3.0</v>
      </c>
      <c r="AF11" s="63" t="str">
        <f>IF('P104'!$AG11&gt;5.9,"SI","NO")</f>
        <v>NO</v>
      </c>
      <c r="AG11" s="64">
        <f>SUM('P104'!$AD11:$AE11)</f>
        <v>5</v>
      </c>
      <c r="AH11" s="141">
        <f>IF('P104'!$AF11="NO",0," ")</f>
        <v>0</v>
      </c>
      <c r="AI11" s="141">
        <f>IF('P104'!$AF11="NO",0," ")</f>
        <v>0</v>
      </c>
      <c r="AJ11" s="66">
        <f>AVERAGE('P104'!$AH11:$AI11)*'P104'!$H11</f>
        <v>0</v>
      </c>
      <c r="AK11" s="142">
        <v>0.0</v>
      </c>
      <c r="AL11" s="143">
        <v>0.0</v>
      </c>
      <c r="AM11" s="144">
        <v>0.0</v>
      </c>
      <c r="AN11" s="130">
        <f>(1*('P104'!$AL11+'P104'!$AM11))*'P104'!$AK11</f>
        <v>0</v>
      </c>
      <c r="AO11" s="70">
        <v>6.5</v>
      </c>
      <c r="AP11" s="71">
        <f>SUM('P104'!$U11)</f>
        <v>8.988907274</v>
      </c>
      <c r="AQ11" s="134">
        <f>SUM(AN11,AJ11,AG11,AC11,X11,('P104'!$AO11)*H11)</f>
        <v>26.47698943</v>
      </c>
      <c r="AR11" s="217">
        <f>'P104'!$AP11+'P104'!$AQ11</f>
        <v>35.4658967</v>
      </c>
    </row>
    <row r="12" ht="14.25" customHeight="1">
      <c r="A12" s="137" t="s">
        <v>367</v>
      </c>
      <c r="B12" s="136">
        <v>2.02412284E8</v>
      </c>
      <c r="C12" s="214" t="s">
        <v>368</v>
      </c>
      <c r="D12" s="215">
        <v>7.0</v>
      </c>
      <c r="E12" s="49"/>
      <c r="F12" s="139">
        <v>1.011299794</v>
      </c>
      <c r="G12" s="139">
        <v>1.022591903</v>
      </c>
      <c r="H12" s="139">
        <v>0.5</v>
      </c>
      <c r="I12" s="52">
        <v>2.25</v>
      </c>
      <c r="J12" s="53">
        <v>2.0</v>
      </c>
      <c r="K12" s="54">
        <v>3.8</v>
      </c>
      <c r="L12" s="55">
        <f>IF(I12&lt;1.79,SUM(I12:J12), SUM('P104'!$Q12:$S12))</f>
        <v>8.5</v>
      </c>
      <c r="M12" s="52">
        <v>3.0</v>
      </c>
      <c r="N12" s="53">
        <v>2.0</v>
      </c>
      <c r="O12" s="54">
        <v>3.5</v>
      </c>
      <c r="P12" s="55">
        <f>IF(M12&lt;1.79,SUM(M12:N12), SUM('P104'!$Q12:$S12))</f>
        <v>8.5</v>
      </c>
      <c r="Q12" s="52">
        <v>3.0</v>
      </c>
      <c r="R12" s="53">
        <v>2.0</v>
      </c>
      <c r="S12" s="54">
        <v>3.5</v>
      </c>
      <c r="T12" s="55">
        <f>IF(Q12&lt;1.79,SUM(Q12:R12), SUM('P104'!$Q12:$S12))</f>
        <v>8.5</v>
      </c>
      <c r="U12" s="56">
        <f>('P104'!$L12+'P104'!$P12+'P104'!$T12)*'P104'!$F12</f>
        <v>25.78814475</v>
      </c>
      <c r="V12" s="57">
        <v>3.8</v>
      </c>
      <c r="W12" s="57">
        <v>6.2</v>
      </c>
      <c r="X12" s="58">
        <f>SUM('P104'!$V12:$W12)*'P104'!$G12</f>
        <v>10.22591903</v>
      </c>
      <c r="Y12" s="216">
        <v>1.0</v>
      </c>
      <c r="Z12" s="216">
        <v>0.0</v>
      </c>
      <c r="AA12" s="216">
        <v>2.5</v>
      </c>
      <c r="AB12" s="60" t="str">
        <f>IF(SUM('P104'!$Y12:$AA12)&gt;5.9,"SI","NO")</f>
        <v>NO</v>
      </c>
      <c r="AC12" s="61">
        <f>SUM('P104'!$Y12:$AA12)</f>
        <v>3.5</v>
      </c>
      <c r="AD12" s="62">
        <v>2.0</v>
      </c>
      <c r="AE12" s="62">
        <v>3.0</v>
      </c>
      <c r="AF12" s="63" t="str">
        <f>IF('P104'!$AG12&gt;5.9,"SI","NO")</f>
        <v>NO</v>
      </c>
      <c r="AG12" s="64">
        <f>SUM('P104'!$AD12:$AE12)</f>
        <v>5</v>
      </c>
      <c r="AH12" s="141">
        <f>IF('P104'!$AF12="NO",0," ")</f>
        <v>0</v>
      </c>
      <c r="AI12" s="141">
        <f>IF('P104'!$AF12="NO",0," ")</f>
        <v>0</v>
      </c>
      <c r="AJ12" s="66">
        <f>AVERAGE('P104'!$AH12:$AI12)*'P104'!$H12</f>
        <v>0</v>
      </c>
      <c r="AK12" s="142">
        <v>0.0</v>
      </c>
      <c r="AL12" s="143">
        <v>0.0</v>
      </c>
      <c r="AM12" s="144">
        <v>0.0</v>
      </c>
      <c r="AN12" s="130">
        <f>(1*('P104'!$AL12+'P104'!$AM12))*'P104'!$AK12</f>
        <v>0</v>
      </c>
      <c r="AO12" s="70">
        <v>6.5</v>
      </c>
      <c r="AP12" s="71">
        <f>SUM('P104'!$U12)</f>
        <v>25.78814475</v>
      </c>
      <c r="AQ12" s="134">
        <f>SUM(AN12,AJ12,AG12,AC12,X12,('P104'!$AO12)*H12)</f>
        <v>21.97591903</v>
      </c>
      <c r="AR12" s="217">
        <f>'P104'!$AP12+'P104'!$AQ12</f>
        <v>47.76406378</v>
      </c>
    </row>
    <row r="13" ht="14.25" customHeight="1">
      <c r="A13" s="145" t="s">
        <v>369</v>
      </c>
      <c r="B13" s="146">
        <v>2.02507521E8</v>
      </c>
      <c r="C13" s="218" t="s">
        <v>370</v>
      </c>
      <c r="D13" s="219">
        <v>2.0</v>
      </c>
      <c r="E13" s="49"/>
      <c r="F13" s="139">
        <v>0.925931263</v>
      </c>
      <c r="G13" s="139">
        <v>1.044180055</v>
      </c>
      <c r="H13" s="139">
        <v>1.136432937</v>
      </c>
      <c r="I13" s="52">
        <v>3.0</v>
      </c>
      <c r="J13" s="53">
        <v>2.0</v>
      </c>
      <c r="K13" s="194">
        <v>4.05</v>
      </c>
      <c r="L13" s="55">
        <f>IF(I13&lt;1.79,SUM(I13:J13), SUM('P104'!$Q13:$S13))</f>
        <v>8.25</v>
      </c>
      <c r="M13" s="52">
        <v>1.5</v>
      </c>
      <c r="N13" s="53">
        <v>2.0</v>
      </c>
      <c r="O13" s="54">
        <v>4.75</v>
      </c>
      <c r="P13" s="55">
        <f>IF(M13&lt;1.79,SUM(M13:N13), SUM('P104'!$Q13:$S13))</f>
        <v>3.5</v>
      </c>
      <c r="Q13" s="52">
        <v>1.5</v>
      </c>
      <c r="R13" s="53">
        <v>2.0</v>
      </c>
      <c r="S13" s="54">
        <v>4.75</v>
      </c>
      <c r="T13" s="55">
        <f>IF(Q13&lt;1.79,SUM(Q13:R13), SUM('P104'!$Q13:$S13))</f>
        <v>3.5</v>
      </c>
      <c r="U13" s="56">
        <f>('P104'!$L13+'P104'!$P13+'P104'!$T13)*'P104'!$F13</f>
        <v>14.12045176</v>
      </c>
      <c r="V13" s="57">
        <v>4.45</v>
      </c>
      <c r="W13" s="57">
        <v>6.4</v>
      </c>
      <c r="X13" s="58">
        <f>SUM('P104'!$V13:$W13)*'P104'!$G13</f>
        <v>11.3293536</v>
      </c>
      <c r="Y13" s="216">
        <v>1.5</v>
      </c>
      <c r="Z13" s="216">
        <v>0.0</v>
      </c>
      <c r="AA13" s="216">
        <v>1.25</v>
      </c>
      <c r="AB13" s="60" t="str">
        <f>IF(SUM('P104'!$Y13:$AA13)&gt;5.9,"SI","NO")</f>
        <v>NO</v>
      </c>
      <c r="AC13" s="61">
        <f>SUM('P104'!$Y13:$AA13)</f>
        <v>2.75</v>
      </c>
      <c r="AD13" s="62">
        <v>1.5</v>
      </c>
      <c r="AE13" s="62">
        <v>3.0</v>
      </c>
      <c r="AF13" s="63" t="str">
        <f>IF('P104'!$AG13&gt;5.9,"SI","NO")</f>
        <v>NO</v>
      </c>
      <c r="AG13" s="64">
        <f>SUM('P104'!$AD13:$AE13)</f>
        <v>4.5</v>
      </c>
      <c r="AH13" s="141">
        <f>IF('P104'!$AF13="NO",0," ")</f>
        <v>0</v>
      </c>
      <c r="AI13" s="141">
        <f>IF('P104'!$AF13="NO",0," ")</f>
        <v>0</v>
      </c>
      <c r="AJ13" s="66">
        <f>AVERAGE('P104'!$AH13:$AI13)*'P104'!$H13</f>
        <v>0</v>
      </c>
      <c r="AK13" s="142">
        <v>0.0</v>
      </c>
      <c r="AL13" s="143">
        <v>0.0</v>
      </c>
      <c r="AM13" s="144">
        <v>0.0</v>
      </c>
      <c r="AN13" s="130">
        <f>(1*('P104'!$AL13+'P104'!$AM13))*'P104'!$AK13</f>
        <v>0</v>
      </c>
      <c r="AO13" s="70">
        <v>6.0</v>
      </c>
      <c r="AP13" s="71">
        <f>SUM('P104'!$U13)</f>
        <v>14.12045176</v>
      </c>
      <c r="AQ13" s="134">
        <f>SUM(AN13,AJ13,AG13,AC13,X13,('P104'!$AO13)*H13)</f>
        <v>25.39795122</v>
      </c>
      <c r="AR13" s="217">
        <f>'P104'!$AP13+'P104'!$AQ13</f>
        <v>39.51840298</v>
      </c>
    </row>
    <row r="14" ht="14.25" customHeight="1">
      <c r="A14" s="137" t="s">
        <v>371</v>
      </c>
      <c r="B14" s="136">
        <v>2.02318572E8</v>
      </c>
      <c r="C14" s="214" t="s">
        <v>372</v>
      </c>
      <c r="D14" s="215">
        <v>7.0</v>
      </c>
      <c r="E14" s="49"/>
      <c r="F14" s="139">
        <v>0.97489139</v>
      </c>
      <c r="G14" s="139">
        <v>0.974183449</v>
      </c>
      <c r="H14" s="139">
        <v>0.92456475</v>
      </c>
      <c r="I14" s="52">
        <v>1.5</v>
      </c>
      <c r="J14" s="53">
        <v>2.0</v>
      </c>
      <c r="K14" s="54">
        <v>3.8</v>
      </c>
      <c r="L14" s="55">
        <f>IF(I14&lt;1.79,SUM(I14:J14), SUM('P104'!$Q14:$S14))</f>
        <v>3.5</v>
      </c>
      <c r="M14" s="52">
        <v>2.75</v>
      </c>
      <c r="N14" s="53">
        <v>2.0</v>
      </c>
      <c r="O14" s="54">
        <v>3.5</v>
      </c>
      <c r="P14" s="55">
        <f>IF(M14&lt;1.79,SUM(M14:N14), SUM('P104'!$Q14:$S14))</f>
        <v>8.25</v>
      </c>
      <c r="Q14" s="52">
        <v>2.75</v>
      </c>
      <c r="R14" s="53">
        <v>2.0</v>
      </c>
      <c r="S14" s="54">
        <v>3.5</v>
      </c>
      <c r="T14" s="55">
        <f>IF(Q14&lt;1.79,SUM(Q14:R14), SUM('P104'!$Q14:$S14))</f>
        <v>8.25</v>
      </c>
      <c r="U14" s="56">
        <f>('P104'!$L14+'P104'!$P14+'P104'!$T14)*'P104'!$F14</f>
        <v>19.4978278</v>
      </c>
      <c r="V14" s="57">
        <v>3.8</v>
      </c>
      <c r="W14" s="57">
        <v>6.2</v>
      </c>
      <c r="X14" s="58">
        <f>SUM('P104'!$V14:$W14)*'P104'!$G14</f>
        <v>9.74183449</v>
      </c>
      <c r="Y14" s="216">
        <v>2.0</v>
      </c>
      <c r="Z14" s="216">
        <v>3.0</v>
      </c>
      <c r="AA14" s="216">
        <v>5.0</v>
      </c>
      <c r="AB14" s="60" t="str">
        <f>IF(SUM('P104'!$Y14:$AA14)&gt;5.9,"SI","NO")</f>
        <v>SI</v>
      </c>
      <c r="AC14" s="61">
        <f>SUM('P104'!$Y14:$AA14)</f>
        <v>10</v>
      </c>
      <c r="AD14" s="62">
        <v>2.0</v>
      </c>
      <c r="AE14" s="62">
        <v>3.0</v>
      </c>
      <c r="AF14" s="63" t="str">
        <f>IF('P104'!$AG14&gt;5.9,"SI","NO")</f>
        <v>NO</v>
      </c>
      <c r="AG14" s="64">
        <f>SUM('P104'!$AD14:$AE14)</f>
        <v>5</v>
      </c>
      <c r="AH14" s="141">
        <f>IF('P104'!$AF14="NO",0," ")</f>
        <v>0</v>
      </c>
      <c r="AI14" s="141">
        <f>IF('P104'!$AF14="NO",0," ")</f>
        <v>0</v>
      </c>
      <c r="AJ14" s="66">
        <f>AVERAGE('P104'!$AH14:$AI14)*'P104'!$H14</f>
        <v>0</v>
      </c>
      <c r="AK14" s="142">
        <v>0.0</v>
      </c>
      <c r="AL14" s="143">
        <v>0.0</v>
      </c>
      <c r="AM14" s="144">
        <v>0.0</v>
      </c>
      <c r="AN14" s="130">
        <f>(1*('P104'!$AL14+'P104'!$AM14))*'P104'!$AK14</f>
        <v>0</v>
      </c>
      <c r="AO14" s="70">
        <v>6.5</v>
      </c>
      <c r="AP14" s="71">
        <f>SUM('P104'!$U14)</f>
        <v>19.4978278</v>
      </c>
      <c r="AQ14" s="134">
        <f>SUM(AN14,AJ14,AG14,AC14,X14,('P104'!$AO14)*H14)</f>
        <v>30.75150537</v>
      </c>
      <c r="AR14" s="217">
        <f>'P104'!$AP14+'P104'!$AQ14</f>
        <v>50.24933317</v>
      </c>
    </row>
    <row r="15" ht="14.25" customHeight="1">
      <c r="A15" s="145" t="s">
        <v>373</v>
      </c>
      <c r="B15" s="146">
        <v>2.02410759E8</v>
      </c>
      <c r="C15" s="218" t="s">
        <v>374</v>
      </c>
      <c r="D15" s="219">
        <v>6.0</v>
      </c>
      <c r="E15" s="49"/>
      <c r="F15" s="139">
        <v>0.940774931</v>
      </c>
      <c r="G15" s="139">
        <v>0.9490106</v>
      </c>
      <c r="H15" s="139">
        <v>0.909717652</v>
      </c>
      <c r="I15" s="52">
        <v>3.0</v>
      </c>
      <c r="J15" s="53">
        <v>2.0</v>
      </c>
      <c r="K15" s="54">
        <v>4.45</v>
      </c>
      <c r="L15" s="55">
        <f>IF(I15&lt;1.79,SUM(I15:J15), SUM('P104'!$Q15:$S15))</f>
        <v>7.85</v>
      </c>
      <c r="M15" s="52">
        <v>2.75</v>
      </c>
      <c r="N15" s="53">
        <v>2.0</v>
      </c>
      <c r="O15" s="54">
        <v>3.1</v>
      </c>
      <c r="P15" s="55">
        <f>IF(M15&lt;1.79,SUM(M15:N15), SUM('P104'!$Q15:$S15))</f>
        <v>7.85</v>
      </c>
      <c r="Q15" s="52">
        <v>2.75</v>
      </c>
      <c r="R15" s="53">
        <v>2.0</v>
      </c>
      <c r="S15" s="54">
        <v>3.1</v>
      </c>
      <c r="T15" s="55">
        <f>IF(Q15&lt;1.79,SUM(Q15:R15), SUM('P104'!$Q15:$S15))</f>
        <v>7.85</v>
      </c>
      <c r="U15" s="56">
        <f>('P104'!$L15+'P104'!$P15+'P104'!$T15)*'P104'!$F15</f>
        <v>22.15524963</v>
      </c>
      <c r="V15" s="57">
        <v>3.95</v>
      </c>
      <c r="W15" s="57">
        <v>6.5</v>
      </c>
      <c r="X15" s="58">
        <f>SUM('P104'!$V15:$W15)*'P104'!$G15</f>
        <v>9.91716077</v>
      </c>
      <c r="Y15" s="216">
        <v>1.5</v>
      </c>
      <c r="Z15" s="216">
        <v>0.0</v>
      </c>
      <c r="AA15" s="216">
        <v>0.0</v>
      </c>
      <c r="AB15" s="60" t="str">
        <f>IF(SUM('P104'!$Y15:$AA15)&gt;5.9,"SI","NO")</f>
        <v>NO</v>
      </c>
      <c r="AC15" s="61">
        <f>SUM('P104'!$Y15:$AA15)</f>
        <v>1.5</v>
      </c>
      <c r="AD15" s="62">
        <v>2.0</v>
      </c>
      <c r="AE15" s="62">
        <v>3.0</v>
      </c>
      <c r="AF15" s="63" t="str">
        <f>IF('P104'!$AG15&gt;5.9,"SI","NO")</f>
        <v>NO</v>
      </c>
      <c r="AG15" s="64">
        <f>SUM('P104'!$AD15:$AE15)</f>
        <v>5</v>
      </c>
      <c r="AH15" s="141">
        <f>IF('P104'!$AF15="NO",0," ")</f>
        <v>0</v>
      </c>
      <c r="AI15" s="141">
        <f>IF('P104'!$AF15="NO",0," ")</f>
        <v>0</v>
      </c>
      <c r="AJ15" s="66">
        <f>AVERAGE('P104'!$AH15:$AI15)*'P104'!$H15</f>
        <v>0</v>
      </c>
      <c r="AK15" s="142">
        <v>0.0</v>
      </c>
      <c r="AL15" s="143">
        <v>0.0</v>
      </c>
      <c r="AM15" s="144">
        <v>0.0</v>
      </c>
      <c r="AN15" s="130">
        <f>(1*('P104'!$AL15+'P104'!$AM15))*'P104'!$AK15</f>
        <v>0</v>
      </c>
      <c r="AO15" s="70">
        <v>7.0</v>
      </c>
      <c r="AP15" s="71">
        <f>SUM('P104'!$U15)</f>
        <v>22.15524963</v>
      </c>
      <c r="AQ15" s="134">
        <f>SUM(AN15,AJ15,AG15,AC15,X15,('P104'!$AO15)*H15)</f>
        <v>22.78518433</v>
      </c>
      <c r="AR15" s="217">
        <f>'P104'!$AP15+'P104'!$AQ15</f>
        <v>44.94043396</v>
      </c>
    </row>
    <row r="16" ht="14.25" customHeight="1">
      <c r="A16" s="137" t="s">
        <v>375</v>
      </c>
      <c r="B16" s="136">
        <v>2.02500989E8</v>
      </c>
      <c r="C16" s="214" t="s">
        <v>376</v>
      </c>
      <c r="D16" s="215">
        <v>1.0</v>
      </c>
      <c r="E16" s="49"/>
      <c r="F16" s="139">
        <v>1.000512689</v>
      </c>
      <c r="G16" s="139">
        <v>0.950129909</v>
      </c>
      <c r="H16" s="139">
        <v>0.897235447</v>
      </c>
      <c r="I16" s="52">
        <v>2.25</v>
      </c>
      <c r="J16" s="53">
        <v>2.0</v>
      </c>
      <c r="K16" s="54">
        <v>4.6</v>
      </c>
      <c r="L16" s="55">
        <f>IF(I16&lt;1.79,SUM(I16:J16), SUM('P104'!$Q16:$S16))</f>
        <v>8.35</v>
      </c>
      <c r="M16" s="52">
        <v>2.25</v>
      </c>
      <c r="N16" s="53">
        <v>2.0</v>
      </c>
      <c r="O16" s="54">
        <v>4.1</v>
      </c>
      <c r="P16" s="55">
        <f>IF(M16&lt;1.79,SUM(M16:N16), SUM('P104'!$Q16:$S16))</f>
        <v>8.35</v>
      </c>
      <c r="Q16" s="52">
        <v>2.25</v>
      </c>
      <c r="R16" s="53">
        <v>2.0</v>
      </c>
      <c r="S16" s="54">
        <v>4.1</v>
      </c>
      <c r="T16" s="55">
        <f>IF(Q16&lt;1.79,SUM(Q16:R16), SUM('P104'!$Q16:$S16))</f>
        <v>8.35</v>
      </c>
      <c r="U16" s="56">
        <f>('P104'!$L16+'P104'!$P16+'P104'!$T16)*'P104'!$F16</f>
        <v>25.06284286</v>
      </c>
      <c r="V16" s="57">
        <v>2.85</v>
      </c>
      <c r="W16" s="57">
        <v>5.4</v>
      </c>
      <c r="X16" s="58">
        <f>SUM('P104'!$V16:$W16)*'P104'!$G16</f>
        <v>7.838571749</v>
      </c>
      <c r="Y16" s="216">
        <v>2.0</v>
      </c>
      <c r="Z16" s="216">
        <v>0.0</v>
      </c>
      <c r="AA16" s="216">
        <v>5.0</v>
      </c>
      <c r="AB16" s="60" t="str">
        <f>IF(SUM('P104'!$Y16:$AA16)&gt;5.9,"SI","NO")</f>
        <v>SI</v>
      </c>
      <c r="AC16" s="61">
        <f>SUM('P104'!$Y16:$AA16)</f>
        <v>7</v>
      </c>
      <c r="AD16" s="62">
        <v>2.0</v>
      </c>
      <c r="AE16" s="62">
        <v>6.0</v>
      </c>
      <c r="AF16" s="63" t="str">
        <f>IF('P104'!$AG16&gt;5.9,"SI","NO")</f>
        <v>SI</v>
      </c>
      <c r="AG16" s="64">
        <f>SUM('P104'!$AD16:$AE16)</f>
        <v>8</v>
      </c>
      <c r="AH16" s="65">
        <v>4.5</v>
      </c>
      <c r="AI16" s="65">
        <v>5.0</v>
      </c>
      <c r="AJ16" s="66">
        <f>AVERAGE('P104'!$AH24:$AI24)*'P104'!$H24</f>
        <v>3.743867535</v>
      </c>
      <c r="AK16" s="142">
        <v>1.0</v>
      </c>
      <c r="AL16" s="143">
        <v>5.0</v>
      </c>
      <c r="AM16" s="144">
        <v>1.0</v>
      </c>
      <c r="AN16" s="130">
        <f>(1*('P104'!$AL16+'P104'!$AM16))*'P104'!$AK16</f>
        <v>6</v>
      </c>
      <c r="AO16" s="70">
        <v>7.25</v>
      </c>
      <c r="AP16" s="71">
        <f>SUM('P104'!$U16)</f>
        <v>25.06284286</v>
      </c>
      <c r="AQ16" s="134">
        <f>SUM(AN16,AJ16,AG16,AC16,X16,('P104'!$AO16)*H16)</f>
        <v>39.08739628</v>
      </c>
      <c r="AR16" s="217">
        <f>'P104'!$AP16+'P104'!$AQ16</f>
        <v>64.15023913</v>
      </c>
    </row>
    <row r="17" ht="14.25" customHeight="1">
      <c r="A17" s="145" t="s">
        <v>377</v>
      </c>
      <c r="B17" s="146">
        <v>2.02501755E8</v>
      </c>
      <c r="C17" s="218" t="s">
        <v>378</v>
      </c>
      <c r="D17" s="219">
        <v>9.0</v>
      </c>
      <c r="E17" s="49"/>
      <c r="F17" s="139">
        <v>0.915417297</v>
      </c>
      <c r="G17" s="139">
        <v>1.21295687</v>
      </c>
      <c r="H17" s="139">
        <v>1.0</v>
      </c>
      <c r="I17" s="52">
        <v>2.25</v>
      </c>
      <c r="J17" s="53">
        <v>2.0</v>
      </c>
      <c r="K17" s="54">
        <v>4.5</v>
      </c>
      <c r="L17" s="55">
        <f>IF(I17&lt;1.79,SUM(I17:J17), SUM('P104'!$Q17:$S17))</f>
        <v>9.5</v>
      </c>
      <c r="M17" s="52">
        <v>3.0</v>
      </c>
      <c r="N17" s="53">
        <v>2.0</v>
      </c>
      <c r="O17" s="54">
        <v>4.5</v>
      </c>
      <c r="P17" s="55">
        <f>IF(M17&lt;1.79,SUM(M17:N17), SUM('P104'!$Q17:$S17))</f>
        <v>9.5</v>
      </c>
      <c r="Q17" s="52">
        <v>3.0</v>
      </c>
      <c r="R17" s="53">
        <v>2.0</v>
      </c>
      <c r="S17" s="54">
        <v>4.5</v>
      </c>
      <c r="T17" s="55">
        <f>IF(Q17&lt;1.79,SUM(Q17:R17), SUM('P104'!$Q17:$S17))</f>
        <v>9.5</v>
      </c>
      <c r="U17" s="56">
        <f>('P104'!$L17+'P104'!$P17+'P104'!$T17)*'P104'!$F17</f>
        <v>26.08939296</v>
      </c>
      <c r="V17" s="57">
        <v>3.7</v>
      </c>
      <c r="W17" s="57">
        <v>6.3</v>
      </c>
      <c r="X17" s="58">
        <f>SUM('P104'!$V17:$W17)*'P104'!$G17</f>
        <v>12.1295687</v>
      </c>
      <c r="Y17" s="216">
        <v>0.0</v>
      </c>
      <c r="Z17" s="216">
        <v>3.0</v>
      </c>
      <c r="AA17" s="216">
        <v>1.25</v>
      </c>
      <c r="AB17" s="60" t="str">
        <f>IF(SUM('P104'!$Y17:$AA17)&gt;5.9,"SI","NO")</f>
        <v>NO</v>
      </c>
      <c r="AC17" s="61">
        <f>SUM('P104'!$Y17:$AA17)</f>
        <v>4.25</v>
      </c>
      <c r="AD17" s="62">
        <v>2.0</v>
      </c>
      <c r="AE17" s="62">
        <v>3.0</v>
      </c>
      <c r="AF17" s="63" t="str">
        <f>IF('P104'!$AG17&gt;5.9,"SI","NO")</f>
        <v>NO</v>
      </c>
      <c r="AG17" s="64">
        <f>SUM('P104'!$AD17:$AE17)</f>
        <v>5</v>
      </c>
      <c r="AH17" s="141">
        <f>IF('P104'!$AF17="NO",0," ")</f>
        <v>0</v>
      </c>
      <c r="AI17" s="141">
        <f>IF('P104'!$AF17="NO",0," ")</f>
        <v>0</v>
      </c>
      <c r="AJ17" s="66">
        <f>AVERAGE('P104'!$AH17:$AI17)*'P104'!$H17</f>
        <v>0</v>
      </c>
      <c r="AK17" s="142">
        <v>0.0</v>
      </c>
      <c r="AL17" s="143">
        <v>0.0</v>
      </c>
      <c r="AM17" s="144">
        <v>0.0</v>
      </c>
      <c r="AN17" s="130">
        <f>(1*('P104'!$AL17+'P104'!$AM17))*'P104'!$AK17</f>
        <v>0</v>
      </c>
      <c r="AO17" s="70">
        <v>6.5</v>
      </c>
      <c r="AP17" s="71">
        <f>SUM('P104'!$U17)</f>
        <v>26.08939296</v>
      </c>
      <c r="AQ17" s="134">
        <f>SUM(AN17,AJ17,AG17,AC17,X17,('P104'!$AO17)*H17)</f>
        <v>27.8795687</v>
      </c>
      <c r="AR17" s="217">
        <f>'P104'!$AP17+'P104'!$AQ17</f>
        <v>53.96896166</v>
      </c>
    </row>
    <row r="18" ht="14.25" customHeight="1">
      <c r="A18" s="137" t="s">
        <v>379</v>
      </c>
      <c r="B18" s="136">
        <v>2.02411724E8</v>
      </c>
      <c r="C18" s="214" t="s">
        <v>380</v>
      </c>
      <c r="D18" s="215">
        <v>3.0</v>
      </c>
      <c r="E18" s="49"/>
      <c r="F18" s="139">
        <v>1.074777153</v>
      </c>
      <c r="G18" s="139">
        <v>1.084652289</v>
      </c>
      <c r="H18" s="139">
        <v>0.99611649</v>
      </c>
      <c r="I18" s="52">
        <v>1.5</v>
      </c>
      <c r="J18" s="53">
        <v>2.0</v>
      </c>
      <c r="K18" s="54">
        <v>3.95</v>
      </c>
      <c r="L18" s="55">
        <f>IF(I18&lt;1.79,SUM(I18:J18), SUM('P104'!$Q18:$S18))</f>
        <v>3.5</v>
      </c>
      <c r="M18" s="52">
        <v>0.5</v>
      </c>
      <c r="N18" s="53">
        <v>2.0</v>
      </c>
      <c r="O18" s="54">
        <v>0.0</v>
      </c>
      <c r="P18" s="55">
        <f>IF(M18&lt;1.79,SUM(M18:N18), SUM('P104'!$Q18:$S18))</f>
        <v>2.5</v>
      </c>
      <c r="Q18" s="52">
        <v>0.5</v>
      </c>
      <c r="R18" s="53">
        <v>2.0</v>
      </c>
      <c r="S18" s="54">
        <v>0.0</v>
      </c>
      <c r="T18" s="55">
        <f>IF(Q18&lt;1.79,SUM(Q18:R18), SUM('P104'!$Q18:$S18))</f>
        <v>2.5</v>
      </c>
      <c r="U18" s="56">
        <f>('P104'!$L18+'P104'!$P18+'P104'!$T18)*'P104'!$F18</f>
        <v>9.135605801</v>
      </c>
      <c r="V18" s="57">
        <v>3.95</v>
      </c>
      <c r="W18" s="57">
        <v>7.7</v>
      </c>
      <c r="X18" s="58">
        <f>SUM('P104'!$V18:$W18)*'P104'!$G18</f>
        <v>12.63619917</v>
      </c>
      <c r="Y18" s="216">
        <v>1.0</v>
      </c>
      <c r="Z18" s="216">
        <v>0.0</v>
      </c>
      <c r="AA18" s="216">
        <v>2.5</v>
      </c>
      <c r="AB18" s="60" t="str">
        <f>IF(SUM('P104'!$Y18:$AA18)&gt;5.9,"SI","NO")</f>
        <v>NO</v>
      </c>
      <c r="AC18" s="61">
        <f>SUM('P104'!$Y18:$AA18)</f>
        <v>3.5</v>
      </c>
      <c r="AD18" s="62">
        <v>1.5</v>
      </c>
      <c r="AE18" s="62">
        <v>5.0</v>
      </c>
      <c r="AF18" s="63" t="str">
        <f>IF('P104'!$AG18&gt;5.9,"SI","NO")</f>
        <v>SI</v>
      </c>
      <c r="AG18" s="64">
        <f>SUM('P104'!$AD18:$AE18)</f>
        <v>6.5</v>
      </c>
      <c r="AH18" s="65">
        <v>4.75</v>
      </c>
      <c r="AI18" s="65">
        <v>5.0</v>
      </c>
      <c r="AJ18" s="66">
        <f>AVERAGE('P104'!$AH18:$AI18)*'P104'!$H18</f>
        <v>4.856067889</v>
      </c>
      <c r="AK18" s="142">
        <v>1.0</v>
      </c>
      <c r="AL18" s="143">
        <v>0.0</v>
      </c>
      <c r="AM18" s="144">
        <v>0.0</v>
      </c>
      <c r="AN18" s="130">
        <f>(1*('P104'!$AL18+'P104'!$AM18))*'P104'!$AK18</f>
        <v>0</v>
      </c>
      <c r="AO18" s="70">
        <v>9.0</v>
      </c>
      <c r="AP18" s="71">
        <f>SUM('P104'!$U18)</f>
        <v>9.135605801</v>
      </c>
      <c r="AQ18" s="134">
        <f>SUM(AN18,AJ18,AG18,AC18,X18,('P104'!$AO18)*H18)</f>
        <v>36.45731547</v>
      </c>
      <c r="AR18" s="217">
        <f>'P104'!$AP18+'P104'!$AQ18</f>
        <v>45.59292127</v>
      </c>
    </row>
    <row r="19" ht="14.25" customHeight="1">
      <c r="A19" s="145" t="s">
        <v>381</v>
      </c>
      <c r="B19" s="146">
        <v>2.02416095E8</v>
      </c>
      <c r="C19" s="218" t="s">
        <v>382</v>
      </c>
      <c r="D19" s="219">
        <v>10.0</v>
      </c>
      <c r="E19" s="49"/>
      <c r="F19" s="139">
        <v>0.808556393</v>
      </c>
      <c r="G19" s="139">
        <v>0.686486976</v>
      </c>
      <c r="H19" s="139">
        <v>0.603807364</v>
      </c>
      <c r="I19" s="52">
        <v>2.25</v>
      </c>
      <c r="J19" s="53">
        <v>2.0</v>
      </c>
      <c r="K19" s="54">
        <v>4.05</v>
      </c>
      <c r="L19" s="55">
        <f>IF(I19&lt;1.79,SUM(I19:J19), SUM('P104'!$Q19:$S19))</f>
        <v>8.3</v>
      </c>
      <c r="M19" s="52">
        <v>2.25</v>
      </c>
      <c r="N19" s="53">
        <v>2.0</v>
      </c>
      <c r="O19" s="54">
        <v>4.05</v>
      </c>
      <c r="P19" s="55">
        <f>IF(M19&lt;1.79,SUM(M19:N19), SUM('P104'!$Q19:$S19))</f>
        <v>8.3</v>
      </c>
      <c r="Q19" s="52">
        <v>2.25</v>
      </c>
      <c r="R19" s="53">
        <v>2.0</v>
      </c>
      <c r="S19" s="54">
        <v>4.05</v>
      </c>
      <c r="T19" s="55">
        <f>IF(Q19&lt;1.79,SUM(Q19:R19), SUM('P104'!$Q19:$S19))</f>
        <v>8.3</v>
      </c>
      <c r="U19" s="56">
        <f>('P104'!$L19+'P104'!$P19+'P104'!$T19)*'P104'!$F19</f>
        <v>20.13305419</v>
      </c>
      <c r="V19" s="57">
        <v>3.8</v>
      </c>
      <c r="W19" s="57">
        <v>6.2</v>
      </c>
      <c r="X19" s="58">
        <f>SUM('P104'!$V19:$W19)*'P104'!$G19</f>
        <v>6.86486976</v>
      </c>
      <c r="Y19" s="216">
        <v>0.5</v>
      </c>
      <c r="Z19" s="216">
        <v>3.0</v>
      </c>
      <c r="AA19" s="216">
        <v>3.75</v>
      </c>
      <c r="AB19" s="60" t="str">
        <f>IF(SUM('P104'!$Y19:$AA19)&gt;5.9,"SI","NO")</f>
        <v>SI</v>
      </c>
      <c r="AC19" s="61">
        <f>SUM('P104'!$Y19:$AA19)</f>
        <v>7.25</v>
      </c>
      <c r="AD19" s="62">
        <v>2.0</v>
      </c>
      <c r="AE19" s="62">
        <v>3.0</v>
      </c>
      <c r="AF19" s="63" t="str">
        <f>IF('P104'!$AG19&gt;5.9,"SI","NO")</f>
        <v>NO</v>
      </c>
      <c r="AG19" s="64">
        <f>SUM('P104'!$AD19:$AE19)</f>
        <v>5</v>
      </c>
      <c r="AH19" s="141">
        <f>IF('P104'!$AF19="NO",0," ")</f>
        <v>0</v>
      </c>
      <c r="AI19" s="141">
        <f>IF('P104'!$AF19="NO",0," ")</f>
        <v>0</v>
      </c>
      <c r="AJ19" s="66">
        <f>AVERAGE('P104'!$AH19:$AI19)*'P104'!$H19</f>
        <v>0</v>
      </c>
      <c r="AK19" s="142">
        <v>0.0</v>
      </c>
      <c r="AL19" s="143">
        <v>0.0</v>
      </c>
      <c r="AM19" s="144">
        <v>0.0</v>
      </c>
      <c r="AN19" s="130">
        <f>(1*('P104'!$AL19+'P104'!$AM19))*'P104'!$AK19</f>
        <v>0</v>
      </c>
      <c r="AO19" s="70">
        <v>5.0</v>
      </c>
      <c r="AP19" s="71">
        <f>SUM('P104'!$U19)</f>
        <v>20.13305419</v>
      </c>
      <c r="AQ19" s="134">
        <f>SUM(AN19,AJ19,AG19,AC19,X19,('P104'!$AO19)*H19)</f>
        <v>22.13390658</v>
      </c>
      <c r="AR19" s="217">
        <f>'P104'!$AP19+'P104'!$AQ19</f>
        <v>42.26696077</v>
      </c>
    </row>
    <row r="20" ht="14.25" customHeight="1">
      <c r="A20" s="137" t="s">
        <v>383</v>
      </c>
      <c r="B20" s="136">
        <v>2.02505269E8</v>
      </c>
      <c r="C20" s="214" t="s">
        <v>384</v>
      </c>
      <c r="D20" s="215">
        <v>2.0</v>
      </c>
      <c r="E20" s="49"/>
      <c r="F20" s="139">
        <v>0.956297696</v>
      </c>
      <c r="G20" s="139">
        <v>0.5</v>
      </c>
      <c r="H20" s="139">
        <v>0.5</v>
      </c>
      <c r="I20" s="52">
        <v>2.25</v>
      </c>
      <c r="J20" s="53">
        <v>2.0</v>
      </c>
      <c r="K20" s="194">
        <v>4.05</v>
      </c>
      <c r="L20" s="55">
        <f>IF(I20&lt;1.79,SUM(I20:J20), SUM('P104'!$Q20:$S20))</f>
        <v>9</v>
      </c>
      <c r="M20" s="52">
        <v>2.25</v>
      </c>
      <c r="N20" s="53">
        <v>2.0</v>
      </c>
      <c r="O20" s="54">
        <v>4.75</v>
      </c>
      <c r="P20" s="55">
        <f>IF(M20&lt;1.79,SUM(M20:N20), SUM('P104'!$Q20:$S20))</f>
        <v>9</v>
      </c>
      <c r="Q20" s="52">
        <v>2.25</v>
      </c>
      <c r="R20" s="53">
        <v>2.0</v>
      </c>
      <c r="S20" s="54">
        <v>4.75</v>
      </c>
      <c r="T20" s="55">
        <f>IF(Q20&lt;1.79,SUM(Q20:R20), SUM('P104'!$Q20:$S20))</f>
        <v>9</v>
      </c>
      <c r="U20" s="56">
        <f>('P104'!$L20+'P104'!$P20+'P104'!$T20)*'P104'!$F20</f>
        <v>25.82003779</v>
      </c>
      <c r="V20" s="57">
        <v>4.45</v>
      </c>
      <c r="W20" s="57">
        <v>6.4</v>
      </c>
      <c r="X20" s="58">
        <f>SUM('P104'!$V20:$W20)*'P104'!$G20</f>
        <v>5.425</v>
      </c>
      <c r="Y20" s="216">
        <v>1.5</v>
      </c>
      <c r="Z20" s="216">
        <v>0.0</v>
      </c>
      <c r="AA20" s="216">
        <v>0.0</v>
      </c>
      <c r="AB20" s="60" t="str">
        <f>IF(SUM('P104'!$Y20:$AA20)&gt;5.9,"SI","NO")</f>
        <v>NO</v>
      </c>
      <c r="AC20" s="61">
        <f>SUM('P104'!$Y20:$AA20)</f>
        <v>1.5</v>
      </c>
      <c r="AD20" s="62">
        <v>1.5</v>
      </c>
      <c r="AE20" s="62">
        <v>3.0</v>
      </c>
      <c r="AF20" s="63" t="str">
        <f>IF('P104'!$AG20&gt;5.9,"SI","NO")</f>
        <v>NO</v>
      </c>
      <c r="AG20" s="64">
        <f>SUM('P104'!$AD20:$AE20)</f>
        <v>4.5</v>
      </c>
      <c r="AH20" s="141">
        <f>IF('P104'!$AF20="NO",0," ")</f>
        <v>0</v>
      </c>
      <c r="AI20" s="141">
        <f>IF('P104'!$AF20="NO",0," ")</f>
        <v>0</v>
      </c>
      <c r="AJ20" s="66">
        <f>AVERAGE('P104'!$AH20:$AI20)*'P104'!$H20</f>
        <v>0</v>
      </c>
      <c r="AK20" s="142">
        <v>0.0</v>
      </c>
      <c r="AL20" s="143">
        <v>0.0</v>
      </c>
      <c r="AM20" s="144">
        <v>0.0</v>
      </c>
      <c r="AN20" s="130">
        <f>(1*('P104'!$AL20+'P104'!$AM20))*'P104'!$AK20</f>
        <v>0</v>
      </c>
      <c r="AO20" s="70">
        <v>6.0</v>
      </c>
      <c r="AP20" s="71">
        <f>SUM('P104'!$U20)</f>
        <v>25.82003779</v>
      </c>
      <c r="AQ20" s="134">
        <f>SUM(AN20,AJ20,AG20,AC20,X20,('P104'!$AO20)*H20)</f>
        <v>14.425</v>
      </c>
      <c r="AR20" s="217">
        <f>'P104'!$AP20+'P104'!$AQ20</f>
        <v>40.24503779</v>
      </c>
    </row>
    <row r="21" ht="14.25" customHeight="1">
      <c r="A21" s="145" t="s">
        <v>385</v>
      </c>
      <c r="B21" s="146">
        <v>2.02507257E8</v>
      </c>
      <c r="C21" s="218" t="s">
        <v>386</v>
      </c>
      <c r="D21" s="219">
        <v>3.0</v>
      </c>
      <c r="E21" s="49"/>
      <c r="F21" s="139">
        <v>1.263939177</v>
      </c>
      <c r="G21" s="139">
        <v>1.236693885</v>
      </c>
      <c r="H21" s="139">
        <v>1.317738255</v>
      </c>
      <c r="I21" s="52">
        <v>1.5</v>
      </c>
      <c r="J21" s="53">
        <v>2.0</v>
      </c>
      <c r="K21" s="54">
        <v>3.95</v>
      </c>
      <c r="L21" s="55">
        <f>IF(I21&lt;1.79,SUM(I21:J21), SUM('P104'!$Q21:$S21))</f>
        <v>3.5</v>
      </c>
      <c r="M21" s="52">
        <v>0.75</v>
      </c>
      <c r="N21" s="53">
        <v>2.0</v>
      </c>
      <c r="O21" s="54">
        <v>4.95</v>
      </c>
      <c r="P21" s="55">
        <f>IF(M21&lt;1.79,SUM(M21:N21), SUM('P104'!$Q21:$S21))</f>
        <v>2.75</v>
      </c>
      <c r="Q21" s="52">
        <v>0.75</v>
      </c>
      <c r="R21" s="53">
        <v>2.0</v>
      </c>
      <c r="S21" s="54">
        <v>4.95</v>
      </c>
      <c r="T21" s="55">
        <f>IF(Q21&lt;1.79,SUM(Q21:R21), SUM('P104'!$Q21:$S21))</f>
        <v>2.75</v>
      </c>
      <c r="U21" s="56">
        <f>('P104'!$L21+'P104'!$P21+'P104'!$T21)*'P104'!$F21</f>
        <v>11.37545259</v>
      </c>
      <c r="V21" s="57">
        <v>3.95</v>
      </c>
      <c r="W21" s="57">
        <v>7.7</v>
      </c>
      <c r="X21" s="58">
        <f>SUM('P104'!$V21:$W21)*'P104'!$G21</f>
        <v>14.40748376</v>
      </c>
      <c r="Y21" s="216">
        <v>0.5</v>
      </c>
      <c r="Z21" s="216">
        <v>3.0</v>
      </c>
      <c r="AA21" s="216">
        <v>2.5</v>
      </c>
      <c r="AB21" s="60" t="str">
        <f>IF(SUM('P104'!$Y21:$AA21)&gt;5.9,"SI","NO")</f>
        <v>SI</v>
      </c>
      <c r="AC21" s="61">
        <f>SUM('P104'!$Y21:$AA21)</f>
        <v>6</v>
      </c>
      <c r="AD21" s="62">
        <v>1.5</v>
      </c>
      <c r="AE21" s="62">
        <v>5.0</v>
      </c>
      <c r="AF21" s="63" t="str">
        <f>IF('P104'!$AG21&gt;5.9,"SI","NO")</f>
        <v>SI</v>
      </c>
      <c r="AG21" s="64">
        <f>SUM('P104'!$AD21:$AE21)</f>
        <v>6.5</v>
      </c>
      <c r="AH21" s="65">
        <v>4.75</v>
      </c>
      <c r="AI21" s="65">
        <v>5.0</v>
      </c>
      <c r="AJ21" s="66">
        <f>AVERAGE('P104'!$AH21:$AI21)*'P104'!$H21</f>
        <v>6.423973993</v>
      </c>
      <c r="AK21" s="142">
        <v>1.0</v>
      </c>
      <c r="AL21" s="143">
        <v>9.5</v>
      </c>
      <c r="AM21" s="144">
        <v>8.0</v>
      </c>
      <c r="AN21" s="130">
        <f>(1*('P104'!$AL21+'P104'!$AM21))*'P104'!$AK21</f>
        <v>17.5</v>
      </c>
      <c r="AO21" s="70">
        <v>9.0</v>
      </c>
      <c r="AP21" s="71">
        <f>SUM('P104'!$U21)</f>
        <v>11.37545259</v>
      </c>
      <c r="AQ21" s="134">
        <f>SUM(AN21,AJ21,AG21,AC21,X21,('P104'!$AO21)*H21)</f>
        <v>62.69110205</v>
      </c>
      <c r="AR21" s="217">
        <f>'P104'!$AP21+'P104'!$AQ21</f>
        <v>74.06655464</v>
      </c>
    </row>
    <row r="22" ht="14.25" customHeight="1">
      <c r="A22" s="137" t="s">
        <v>387</v>
      </c>
      <c r="B22" s="136">
        <v>2.02312294E8</v>
      </c>
      <c r="C22" s="214" t="s">
        <v>388</v>
      </c>
      <c r="D22" s="215">
        <v>5.0</v>
      </c>
      <c r="E22" s="49"/>
      <c r="F22" s="139">
        <v>1.049712215</v>
      </c>
      <c r="G22" s="139">
        <v>1.061358664</v>
      </c>
      <c r="H22" s="139">
        <v>1.040130446</v>
      </c>
      <c r="I22" s="52">
        <v>2.25</v>
      </c>
      <c r="J22" s="53">
        <v>2.0</v>
      </c>
      <c r="K22" s="54">
        <v>4.65</v>
      </c>
      <c r="L22" s="55">
        <f>IF(I22&lt;1.79,SUM(I22:J22), SUM('P104'!$Q22:$S22))</f>
        <v>8.45</v>
      </c>
      <c r="M22" s="52">
        <v>2.25</v>
      </c>
      <c r="N22" s="53">
        <v>2.0</v>
      </c>
      <c r="O22" s="54">
        <v>4.2</v>
      </c>
      <c r="P22" s="55">
        <f>IF(M22&lt;1.79,SUM(M22:N22), SUM('P104'!$Q22:$S22))</f>
        <v>8.45</v>
      </c>
      <c r="Q22" s="52">
        <v>2.25</v>
      </c>
      <c r="R22" s="53">
        <v>2.0</v>
      </c>
      <c r="S22" s="54">
        <v>4.2</v>
      </c>
      <c r="T22" s="55">
        <f>IF(Q22&lt;1.79,SUM(Q22:R22), SUM('P104'!$Q22:$S22))</f>
        <v>8.45</v>
      </c>
      <c r="U22" s="56">
        <f>('P104'!$L22+'P104'!$P22+'P104'!$T22)*'P104'!$F22</f>
        <v>26.61020465</v>
      </c>
      <c r="V22" s="57">
        <v>3.8</v>
      </c>
      <c r="W22" s="57">
        <v>5.8</v>
      </c>
      <c r="X22" s="58">
        <f>SUM('P104'!$V22:$W22)*'P104'!$G22</f>
        <v>10.18904317</v>
      </c>
      <c r="Y22" s="216">
        <v>1.0</v>
      </c>
      <c r="Z22" s="216">
        <v>3.0</v>
      </c>
      <c r="AA22" s="216">
        <v>2.5</v>
      </c>
      <c r="AB22" s="60" t="str">
        <f>IF(SUM('P104'!$Y22:$AA22)&gt;5.9,"SI","NO")</f>
        <v>SI</v>
      </c>
      <c r="AC22" s="61">
        <f>SUM('P104'!$Y22:$AA22)</f>
        <v>6.5</v>
      </c>
      <c r="AD22" s="62">
        <v>0.5</v>
      </c>
      <c r="AE22" s="62">
        <v>6.0</v>
      </c>
      <c r="AF22" s="63" t="str">
        <f>IF('P104'!$AG22&gt;5.9,"SI","NO")</f>
        <v>SI</v>
      </c>
      <c r="AG22" s="64">
        <f>SUM('P104'!$AD22:$AE22)</f>
        <v>6.5</v>
      </c>
      <c r="AH22" s="65">
        <v>3.6</v>
      </c>
      <c r="AI22" s="65">
        <v>1.5</v>
      </c>
      <c r="AJ22" s="66">
        <f>AVERAGE('P104'!$AH22:$AI22)*'P104'!$H22</f>
        <v>2.652332637</v>
      </c>
      <c r="AK22" s="142">
        <v>1.0</v>
      </c>
      <c r="AL22" s="143">
        <v>4.0</v>
      </c>
      <c r="AM22" s="144">
        <v>6.0</v>
      </c>
      <c r="AN22" s="130">
        <f>(1*('P104'!$AL22+'P104'!$AM22))*'P104'!$AK22</f>
        <v>10</v>
      </c>
      <c r="AO22" s="70">
        <v>7.25</v>
      </c>
      <c r="AP22" s="71">
        <f>SUM('P104'!$U22)</f>
        <v>26.61020465</v>
      </c>
      <c r="AQ22" s="134">
        <f>SUM(AN22,AJ22,AG22,AC22,X22,('P104'!$AO22)*H22)</f>
        <v>43.38232155</v>
      </c>
      <c r="AR22" s="217">
        <f>'P104'!$AP22+'P104'!$AQ22</f>
        <v>69.9925262</v>
      </c>
    </row>
    <row r="23" ht="14.25" customHeight="1">
      <c r="A23" s="145" t="s">
        <v>389</v>
      </c>
      <c r="B23" s="146">
        <v>2.02505442E8</v>
      </c>
      <c r="C23" s="218" t="s">
        <v>390</v>
      </c>
      <c r="D23" s="219">
        <v>6.0</v>
      </c>
      <c r="E23" s="49"/>
      <c r="F23" s="139">
        <v>1.05590839</v>
      </c>
      <c r="G23" s="139">
        <v>1.047524935</v>
      </c>
      <c r="H23" s="139">
        <v>1.098588436</v>
      </c>
      <c r="I23" s="52">
        <v>2.25</v>
      </c>
      <c r="J23" s="53">
        <v>2.0</v>
      </c>
      <c r="K23" s="54">
        <v>4.45</v>
      </c>
      <c r="L23" s="55">
        <f>IF(I23&lt;1.79,SUM(I23:J23), SUM('P104'!$Q23:$S23))</f>
        <v>7.1</v>
      </c>
      <c r="M23" s="52">
        <v>2.0</v>
      </c>
      <c r="N23" s="53">
        <v>2.0</v>
      </c>
      <c r="O23" s="54">
        <v>3.1</v>
      </c>
      <c r="P23" s="55">
        <f>IF(M23&lt;1.79,SUM(M23:N23), SUM('P104'!$Q23:$S23))</f>
        <v>7.1</v>
      </c>
      <c r="Q23" s="52">
        <v>2.0</v>
      </c>
      <c r="R23" s="53">
        <v>2.0</v>
      </c>
      <c r="S23" s="54">
        <v>3.1</v>
      </c>
      <c r="T23" s="55">
        <f>IF(Q23&lt;1.79,SUM(Q23:R23), SUM('P104'!$Q23:$S23))</f>
        <v>7.1</v>
      </c>
      <c r="U23" s="56">
        <f>('P104'!$L23+'P104'!$P23+'P104'!$T23)*'P104'!$F23</f>
        <v>22.49084871</v>
      </c>
      <c r="V23" s="57">
        <v>3.95</v>
      </c>
      <c r="W23" s="57">
        <v>6.5</v>
      </c>
      <c r="X23" s="58">
        <f>SUM('P104'!$V23:$W23)*'P104'!$G23</f>
        <v>10.94663557</v>
      </c>
      <c r="Y23" s="216">
        <v>1.5</v>
      </c>
      <c r="Z23" s="216">
        <v>0.0</v>
      </c>
      <c r="AA23" s="216">
        <v>5.0</v>
      </c>
      <c r="AB23" s="60" t="str">
        <f>IF(SUM('P104'!$Y23:$AA23)&gt;5.9,"SI","NO")</f>
        <v>SI</v>
      </c>
      <c r="AC23" s="61">
        <f>SUM('P104'!$Y23:$AA23)</f>
        <v>6.5</v>
      </c>
      <c r="AD23" s="62">
        <v>2.0</v>
      </c>
      <c r="AE23" s="62">
        <v>3.0</v>
      </c>
      <c r="AF23" s="63" t="str">
        <f>IF('P104'!$AG23&gt;5.9,"SI","NO")</f>
        <v>NO</v>
      </c>
      <c r="AG23" s="64">
        <f>SUM('P104'!$AD23:$AE23)</f>
        <v>5</v>
      </c>
      <c r="AH23" s="141">
        <f>IF('P104'!$AF23="NO",0," ")</f>
        <v>0</v>
      </c>
      <c r="AI23" s="141">
        <f>IF('P104'!$AF23="NO",0," ")</f>
        <v>0</v>
      </c>
      <c r="AJ23" s="66">
        <f>AVERAGE('P104'!$AH23:$AI23)*'P104'!$H23</f>
        <v>0</v>
      </c>
      <c r="AK23" s="142">
        <v>0.0</v>
      </c>
      <c r="AL23" s="143">
        <v>0.0</v>
      </c>
      <c r="AM23" s="144">
        <v>0.0</v>
      </c>
      <c r="AN23" s="130">
        <f>(1*('P104'!$AL23+'P104'!$AM23))*'P104'!$AK23</f>
        <v>0</v>
      </c>
      <c r="AO23" s="70">
        <v>7.0</v>
      </c>
      <c r="AP23" s="71">
        <f>SUM('P104'!$U23)</f>
        <v>22.49084871</v>
      </c>
      <c r="AQ23" s="134">
        <f>SUM(AN23,AJ23,AG23,AC23,X23,('P104'!$AO23)*H23)</f>
        <v>30.13675462</v>
      </c>
      <c r="AR23" s="217">
        <f>'P104'!$AP23+'P104'!$AQ23</f>
        <v>52.62760333</v>
      </c>
    </row>
    <row r="24" ht="14.25" customHeight="1">
      <c r="A24" s="145" t="s">
        <v>391</v>
      </c>
      <c r="B24" s="146">
        <v>2.02510541E8</v>
      </c>
      <c r="C24" s="218" t="s">
        <v>392</v>
      </c>
      <c r="D24" s="219">
        <v>8.0</v>
      </c>
      <c r="E24" s="49"/>
      <c r="F24" s="139">
        <v>0.5</v>
      </c>
      <c r="G24" s="139">
        <v>0.994609125</v>
      </c>
      <c r="H24" s="139">
        <v>0.998364676</v>
      </c>
      <c r="I24" s="52">
        <v>3.0</v>
      </c>
      <c r="J24" s="53">
        <v>2.0</v>
      </c>
      <c r="K24" s="54">
        <v>2.0</v>
      </c>
      <c r="L24" s="55">
        <f>IF(I24&lt;1.79,SUM(I24:J24), SUM('P104'!$Q24:$S24))</f>
        <v>8.1</v>
      </c>
      <c r="M24" s="52">
        <v>2.75</v>
      </c>
      <c r="N24" s="53">
        <v>2.0</v>
      </c>
      <c r="O24" s="54">
        <v>3.35</v>
      </c>
      <c r="P24" s="55">
        <f>IF(M24&lt;1.79,SUM(M24:N24), SUM('P104'!$Q24:$S24))</f>
        <v>8.1</v>
      </c>
      <c r="Q24" s="52">
        <v>2.75</v>
      </c>
      <c r="R24" s="53">
        <v>2.0</v>
      </c>
      <c r="S24" s="54">
        <v>3.35</v>
      </c>
      <c r="T24" s="55">
        <f>IF(Q24&lt;1.79,SUM(Q24:R24), SUM('P104'!$Q24:$S24))</f>
        <v>8.1</v>
      </c>
      <c r="U24" s="56">
        <f>('P104'!$L24+'P104'!$P24+'P104'!$T24)*'P104'!$F24</f>
        <v>12.15</v>
      </c>
      <c r="V24" s="57">
        <v>3.8</v>
      </c>
      <c r="W24" s="57">
        <v>6.9</v>
      </c>
      <c r="X24" s="58">
        <f>SUM('P104'!$V24:$W24)*'P104'!$G24</f>
        <v>10.64231764</v>
      </c>
      <c r="Y24" s="216">
        <v>1.5</v>
      </c>
      <c r="Z24" s="216">
        <v>1.5</v>
      </c>
      <c r="AA24" s="216">
        <v>3.75</v>
      </c>
      <c r="AB24" s="60" t="str">
        <f>IF(SUM('P104'!$Y24:$AA24)&gt;5.9,"SI","NO")</f>
        <v>SI</v>
      </c>
      <c r="AC24" s="61">
        <f>SUM('P104'!$Y24:$AA24)</f>
        <v>6.75</v>
      </c>
      <c r="AD24" s="62">
        <v>2.0</v>
      </c>
      <c r="AE24" s="62">
        <v>4.0</v>
      </c>
      <c r="AF24" s="63" t="str">
        <f>IF('P104'!$AG24&gt;5.9,"SI","NO")</f>
        <v>SI</v>
      </c>
      <c r="AG24" s="64">
        <f>SUM('P104'!$AD24:$AE24)</f>
        <v>6</v>
      </c>
      <c r="AH24" s="65">
        <v>3.5</v>
      </c>
      <c r="AI24" s="65">
        <v>4.0</v>
      </c>
      <c r="AJ24" s="66">
        <f>AVERAGE('P104'!$AH24:$AI24)*'P104'!$H24</f>
        <v>3.743867535</v>
      </c>
      <c r="AK24" s="142">
        <v>1.0</v>
      </c>
      <c r="AL24" s="143">
        <v>4.0</v>
      </c>
      <c r="AM24" s="144">
        <v>5.0</v>
      </c>
      <c r="AN24" s="130">
        <f>(1*('P104'!$AL24+'P104'!$AM24))*'P104'!$AK24</f>
        <v>9</v>
      </c>
      <c r="AO24" s="70">
        <v>6.25</v>
      </c>
      <c r="AP24" s="71">
        <f>SUM('P104'!$U24)</f>
        <v>12.15</v>
      </c>
      <c r="AQ24" s="134">
        <f>SUM(AN24,AJ24,AG24,AC24,X24,('P104'!$AO24)*H24)</f>
        <v>42.3759644</v>
      </c>
      <c r="AR24" s="217">
        <f>'P104'!$AP24+'P104'!$AQ24</f>
        <v>54.5259644</v>
      </c>
    </row>
    <row r="26" ht="14.25" customHeight="1">
      <c r="A26" s="137" t="s">
        <v>393</v>
      </c>
      <c r="B26" s="136">
        <v>2.0241188E8</v>
      </c>
      <c r="C26" s="214" t="s">
        <v>394</v>
      </c>
      <c r="D26" s="215">
        <v>2.0</v>
      </c>
      <c r="E26" s="49"/>
      <c r="F26" s="139">
        <v>0.5</v>
      </c>
      <c r="G26" s="139">
        <v>0.952052489</v>
      </c>
      <c r="H26" s="139">
        <v>0.914915435</v>
      </c>
      <c r="I26" s="52">
        <v>3.0</v>
      </c>
      <c r="J26" s="53">
        <v>2.0</v>
      </c>
      <c r="K26" s="194">
        <v>4.05</v>
      </c>
      <c r="L26" s="55">
        <f>IF(I26&lt;1.79,SUM(I26:J26), SUM('P104'!$Q26:$S26))</f>
        <v>9.75</v>
      </c>
      <c r="M26" s="52">
        <v>3.0</v>
      </c>
      <c r="N26" s="53">
        <v>2.0</v>
      </c>
      <c r="O26" s="54">
        <v>4.75</v>
      </c>
      <c r="P26" s="55">
        <f>IF(M26&lt;1.79,SUM(M26:N26), SUM('P104'!$Q26:$S26))</f>
        <v>9.75</v>
      </c>
      <c r="Q26" s="52">
        <v>3.0</v>
      </c>
      <c r="R26" s="53">
        <v>2.0</v>
      </c>
      <c r="S26" s="54">
        <v>4.75</v>
      </c>
      <c r="T26" s="55">
        <f>IF(Q26&lt;1.79,SUM(Q26:R26), SUM('P104'!$Q26:$S26))</f>
        <v>9.75</v>
      </c>
      <c r="U26" s="56">
        <f>('P104'!$L26+'P104'!$P26+'P104'!$T26)*'P104'!$F26</f>
        <v>14.625</v>
      </c>
      <c r="V26" s="57">
        <v>4.45</v>
      </c>
      <c r="W26" s="57">
        <v>6.4</v>
      </c>
      <c r="X26" s="58">
        <f>SUM('P104'!$V26:$W26)*'P104'!$G26</f>
        <v>10.32976951</v>
      </c>
      <c r="Y26" s="216">
        <v>0.5</v>
      </c>
      <c r="Z26" s="216">
        <v>1.5</v>
      </c>
      <c r="AA26" s="216">
        <v>1.25</v>
      </c>
      <c r="AB26" s="60" t="str">
        <f>IF(SUM('P104'!$Y26:$AA26)&gt;5.9,"SI","NO")</f>
        <v>NO</v>
      </c>
      <c r="AC26" s="61">
        <f>SUM('P104'!$Y26:$AA26)</f>
        <v>3.25</v>
      </c>
      <c r="AD26" s="62">
        <v>1.5</v>
      </c>
      <c r="AE26" s="62">
        <v>3.0</v>
      </c>
      <c r="AF26" s="63" t="str">
        <f>IF('P104'!$AG26&gt;5.9,"SI","NO")</f>
        <v>NO</v>
      </c>
      <c r="AG26" s="64">
        <f>SUM('P104'!$AD26:$AE26)</f>
        <v>4.5</v>
      </c>
      <c r="AH26" s="141">
        <f>IF('P104'!$AF26="NO",0," ")</f>
        <v>0</v>
      </c>
      <c r="AI26" s="141">
        <f>IF('P104'!$AF26="NO",0," ")</f>
        <v>0</v>
      </c>
      <c r="AJ26" s="66">
        <f>AVERAGE('P104'!$AH26:$AI26)*'P104'!$H26</f>
        <v>0</v>
      </c>
      <c r="AK26" s="142">
        <v>0.0</v>
      </c>
      <c r="AL26" s="143">
        <v>0.0</v>
      </c>
      <c r="AM26" s="144">
        <v>0.0</v>
      </c>
      <c r="AN26" s="130">
        <f>(1*('P104'!$AL26+'P104'!$AM26))*'P104'!$AK26</f>
        <v>0</v>
      </c>
      <c r="AO26" s="70">
        <v>6.0</v>
      </c>
      <c r="AP26" s="71">
        <f>SUM('P104'!$U26)</f>
        <v>14.625</v>
      </c>
      <c r="AQ26" s="134">
        <f>SUM(AN26,AJ26,AG26,AC26,X26,('P104'!$AO26)*H26)</f>
        <v>23.56926212</v>
      </c>
      <c r="AR26" s="217">
        <f>'P104'!$AP26+'P104'!$AQ26</f>
        <v>38.19426212</v>
      </c>
    </row>
    <row r="27" ht="14.25" customHeight="1">
      <c r="A27" s="145" t="s">
        <v>395</v>
      </c>
      <c r="B27" s="146">
        <v>2.02403416E8</v>
      </c>
      <c r="C27" s="218" t="s">
        <v>396</v>
      </c>
      <c r="D27" s="219">
        <v>8.0</v>
      </c>
      <c r="E27" s="49"/>
      <c r="F27" s="139">
        <v>1.000512689</v>
      </c>
      <c r="G27" s="139">
        <v>0.989188872</v>
      </c>
      <c r="H27" s="139">
        <v>0.939336437</v>
      </c>
      <c r="I27" s="52">
        <v>3.0</v>
      </c>
      <c r="J27" s="53">
        <v>2.0</v>
      </c>
      <c r="K27" s="54">
        <v>2.0</v>
      </c>
      <c r="L27" s="55">
        <f>IF(I27&lt;1.79,SUM(I27:J27), SUM('P104'!$Q27:$S27))</f>
        <v>7.6</v>
      </c>
      <c r="M27" s="52">
        <v>2.25</v>
      </c>
      <c r="N27" s="53">
        <v>2.0</v>
      </c>
      <c r="O27" s="54">
        <v>3.35</v>
      </c>
      <c r="P27" s="55">
        <f>IF(M27&lt;1.79,SUM(M27:N27), SUM('P104'!$Q27:$S27))</f>
        <v>7.6</v>
      </c>
      <c r="Q27" s="52">
        <v>2.25</v>
      </c>
      <c r="R27" s="53">
        <v>2.0</v>
      </c>
      <c r="S27" s="54">
        <v>3.35</v>
      </c>
      <c r="T27" s="55">
        <f>IF(Q27&lt;1.79,SUM(Q27:R27), SUM('P104'!$Q27:$S27))</f>
        <v>7.6</v>
      </c>
      <c r="U27" s="56">
        <f>('P104'!$L27+'P104'!$P27+'P104'!$T27)*'P104'!$F27</f>
        <v>22.81168931</v>
      </c>
      <c r="V27" s="57">
        <v>3.8</v>
      </c>
      <c r="W27" s="57">
        <v>6.9</v>
      </c>
      <c r="X27" s="58">
        <f>SUM('P104'!$V27:$W27)*'P104'!$G27</f>
        <v>10.58432093</v>
      </c>
      <c r="Y27" s="216">
        <v>1.0</v>
      </c>
      <c r="Z27" s="216">
        <v>3.0</v>
      </c>
      <c r="AA27" s="216">
        <v>5.0</v>
      </c>
      <c r="AB27" s="60" t="str">
        <f>IF(SUM('P104'!$Y27:$AA27)&gt;5.9,"SI","NO")</f>
        <v>SI</v>
      </c>
      <c r="AC27" s="61">
        <f>SUM('P104'!$Y27:$AA27)</f>
        <v>9</v>
      </c>
      <c r="AD27" s="62">
        <v>2.0</v>
      </c>
      <c r="AE27" s="62">
        <v>4.0</v>
      </c>
      <c r="AF27" s="63" t="str">
        <f>IF('P104'!$AG27&gt;5.9,"SI","NO")</f>
        <v>SI</v>
      </c>
      <c r="AG27" s="64">
        <f>SUM('P104'!$AD27:$AE27)</f>
        <v>6</v>
      </c>
      <c r="AH27" s="65">
        <v>3.5</v>
      </c>
      <c r="AI27" s="65">
        <v>4.0</v>
      </c>
      <c r="AJ27" s="66">
        <f>AVERAGE('P104'!$AH27:$AI27)*'P104'!$H27</f>
        <v>3.522511639</v>
      </c>
      <c r="AK27" s="142">
        <v>1.0</v>
      </c>
      <c r="AL27" s="143">
        <v>3.5</v>
      </c>
      <c r="AM27" s="144">
        <v>5.5</v>
      </c>
      <c r="AN27" s="130">
        <f>(1*('P104'!$AL27+'P104'!$AM27))*'P104'!$AK27</f>
        <v>9</v>
      </c>
      <c r="AO27" s="70">
        <v>6.25</v>
      </c>
      <c r="AP27" s="71">
        <f>SUM('P104'!$U27)</f>
        <v>22.81168931</v>
      </c>
      <c r="AQ27" s="134">
        <f>SUM(AN27,AJ27,AG27,AC27,X27,('P104'!$AO27)*H27)</f>
        <v>43.9776853</v>
      </c>
      <c r="AR27" s="217">
        <f>'P104'!$AP27+'P104'!$AQ27</f>
        <v>66.78937461</v>
      </c>
    </row>
    <row r="28" ht="14.25" customHeight="1">
      <c r="A28" s="137" t="s">
        <v>397</v>
      </c>
      <c r="B28" s="136">
        <v>2.02506879E8</v>
      </c>
      <c r="C28" s="214" t="s">
        <v>398</v>
      </c>
      <c r="D28" s="215">
        <v>4.0</v>
      </c>
      <c r="E28" s="49"/>
      <c r="F28" s="139">
        <v>1.066003582</v>
      </c>
      <c r="G28" s="139">
        <v>0.9720988</v>
      </c>
      <c r="H28" s="139">
        <v>1.104689541</v>
      </c>
      <c r="I28" s="52">
        <v>3.0</v>
      </c>
      <c r="J28" s="53">
        <v>2.0</v>
      </c>
      <c r="K28" s="54">
        <v>3.95</v>
      </c>
      <c r="L28" s="55">
        <f>IF(I28&lt;1.79,SUM(I28:J28), SUM('P104'!$Q28:$S28))</f>
        <v>7.95</v>
      </c>
      <c r="M28" s="52">
        <v>2.25</v>
      </c>
      <c r="N28" s="53">
        <v>2.0</v>
      </c>
      <c r="O28" s="54">
        <v>3.7</v>
      </c>
      <c r="P28" s="55">
        <f>IF(M28&lt;1.79,SUM(M28:N28), SUM('P104'!$Q28:$S28))</f>
        <v>7.95</v>
      </c>
      <c r="Q28" s="52">
        <v>2.25</v>
      </c>
      <c r="R28" s="53">
        <v>2.0</v>
      </c>
      <c r="S28" s="54">
        <v>3.7</v>
      </c>
      <c r="T28" s="55">
        <f>IF(Q28&lt;1.79,SUM(Q28:R28), SUM('P104'!$Q28:$S28))</f>
        <v>7.95</v>
      </c>
      <c r="U28" s="56">
        <f>('P104'!$L28+'P104'!$P28+'P104'!$T28)*'P104'!$F28</f>
        <v>25.42418543</v>
      </c>
      <c r="V28" s="57">
        <v>3.7</v>
      </c>
      <c r="W28" s="57">
        <v>6.6</v>
      </c>
      <c r="X28" s="58">
        <f>SUM('P104'!$V28:$W28)*'P104'!$G28</f>
        <v>10.01261764</v>
      </c>
      <c r="Y28" s="216">
        <v>1.5</v>
      </c>
      <c r="Z28" s="216">
        <v>1.5</v>
      </c>
      <c r="AA28" s="216">
        <v>3.75</v>
      </c>
      <c r="AB28" s="60" t="str">
        <f>IF(SUM('P104'!$Y28:$AA28)&gt;5.9,"SI","NO")</f>
        <v>SI</v>
      </c>
      <c r="AC28" s="61">
        <f>SUM('P104'!$Y28:$AA28)</f>
        <v>6.75</v>
      </c>
      <c r="AD28" s="62">
        <v>0.25</v>
      </c>
      <c r="AE28" s="62">
        <v>6.0</v>
      </c>
      <c r="AF28" s="63" t="str">
        <f>IF('P104'!$AG28&gt;5.9,"SI","NO")</f>
        <v>SI</v>
      </c>
      <c r="AG28" s="64">
        <f>SUM('P104'!$AD28:$AE28)</f>
        <v>6.25</v>
      </c>
      <c r="AH28" s="65">
        <v>4.5</v>
      </c>
      <c r="AI28" s="65">
        <v>4.5</v>
      </c>
      <c r="AJ28" s="66">
        <f>AVERAGE('P104'!$AH28:$AI28)*'P104'!$H28</f>
        <v>4.971102935</v>
      </c>
      <c r="AK28" s="142">
        <v>1.0</v>
      </c>
      <c r="AL28" s="143">
        <v>10.0</v>
      </c>
      <c r="AM28" s="144">
        <v>7.0</v>
      </c>
      <c r="AN28" s="130">
        <f>(1*('P104'!$AL28+'P104'!$AM28))*'P104'!$AK28</f>
        <v>17</v>
      </c>
      <c r="AO28" s="70">
        <v>8.0</v>
      </c>
      <c r="AP28" s="71">
        <f>SUM('P104'!$U28)</f>
        <v>25.42418543</v>
      </c>
      <c r="AQ28" s="134">
        <f>SUM(AN28,AJ28,AG28,AC28,X28,('P104'!$AO28)*H28)</f>
        <v>53.8212369</v>
      </c>
      <c r="AR28" s="217">
        <f>'P104'!$AP28+'P104'!$AQ28</f>
        <v>79.24542233</v>
      </c>
    </row>
    <row r="29" ht="14.25" customHeight="1">
      <c r="A29" s="145" t="s">
        <v>399</v>
      </c>
      <c r="B29" s="146">
        <v>2.02510764E8</v>
      </c>
      <c r="C29" s="218" t="s">
        <v>400</v>
      </c>
      <c r="D29" s="219">
        <v>7.0</v>
      </c>
      <c r="E29" s="49"/>
      <c r="F29" s="139">
        <v>1.011299794</v>
      </c>
      <c r="G29" s="139">
        <v>1.022591903</v>
      </c>
      <c r="H29" s="139">
        <v>1.038179412</v>
      </c>
      <c r="I29" s="52">
        <v>3.0</v>
      </c>
      <c r="J29" s="53">
        <v>2.0</v>
      </c>
      <c r="K29" s="54">
        <v>3.8</v>
      </c>
      <c r="L29" s="55">
        <f>IF(I29&lt;1.79,SUM(I29:J29), SUM('P104'!$Q29:$S29))</f>
        <v>7</v>
      </c>
      <c r="M29" s="52">
        <v>1.5</v>
      </c>
      <c r="N29" s="53">
        <v>2.0</v>
      </c>
      <c r="O29" s="54">
        <v>3.5</v>
      </c>
      <c r="P29" s="55">
        <f>IF(M29&lt;1.79,SUM(M29:N29), SUM('P104'!$Q29:$S29))</f>
        <v>3.5</v>
      </c>
      <c r="Q29" s="52">
        <v>1.5</v>
      </c>
      <c r="R29" s="53">
        <v>2.0</v>
      </c>
      <c r="S29" s="54">
        <v>3.5</v>
      </c>
      <c r="T29" s="55">
        <f>IF(Q29&lt;1.79,SUM(Q29:R29), SUM('P104'!$Q29:$S29))</f>
        <v>3.5</v>
      </c>
      <c r="U29" s="56">
        <f>('P104'!$L29+'P104'!$P29+'P104'!$T29)*'P104'!$F29</f>
        <v>14.15819712</v>
      </c>
      <c r="V29" s="57">
        <v>3.8</v>
      </c>
      <c r="W29" s="57">
        <v>6.2</v>
      </c>
      <c r="X29" s="58">
        <f>SUM('P104'!$V29:$W29)*'P104'!$G29</f>
        <v>10.22591903</v>
      </c>
      <c r="Y29" s="216">
        <v>0.5</v>
      </c>
      <c r="Z29" s="216">
        <v>0.0</v>
      </c>
      <c r="AA29" s="216">
        <v>1.25</v>
      </c>
      <c r="AB29" s="60" t="str">
        <f>IF(SUM('P104'!$Y29:$AA29)&gt;5.9,"SI","NO")</f>
        <v>NO</v>
      </c>
      <c r="AC29" s="61">
        <f>SUM('P104'!$Y29:$AA29)</f>
        <v>1.75</v>
      </c>
      <c r="AD29" s="62">
        <v>2.0</v>
      </c>
      <c r="AE29" s="62">
        <v>3.0</v>
      </c>
      <c r="AF29" s="63" t="str">
        <f>IF('P104'!$AG29&gt;5.9,"SI","NO")</f>
        <v>NO</v>
      </c>
      <c r="AG29" s="64">
        <f>SUM('P104'!$AD29:$AE29)</f>
        <v>5</v>
      </c>
      <c r="AH29" s="141">
        <f>IF('P104'!$AF29="NO",0," ")</f>
        <v>0</v>
      </c>
      <c r="AI29" s="141">
        <f>IF('P104'!$AF29="NO",0," ")</f>
        <v>0</v>
      </c>
      <c r="AJ29" s="66">
        <f>AVERAGE('P104'!$AH29:$AI29)*'P104'!$H29</f>
        <v>0</v>
      </c>
      <c r="AK29" s="142">
        <v>0.0</v>
      </c>
      <c r="AL29" s="143">
        <v>0.0</v>
      </c>
      <c r="AM29" s="144">
        <v>0.0</v>
      </c>
      <c r="AN29" s="130">
        <f>(1*('P104'!$AL29+'P104'!$AM29))*'P104'!$AK29</f>
        <v>0</v>
      </c>
      <c r="AO29" s="70">
        <v>6.5</v>
      </c>
      <c r="AP29" s="71">
        <f>SUM('P104'!$U29)</f>
        <v>14.15819712</v>
      </c>
      <c r="AQ29" s="134">
        <f>SUM(AN29,AJ29,AG29,AC29,X29,('P104'!$AO29)*H29)</f>
        <v>23.72408521</v>
      </c>
      <c r="AR29" s="217">
        <f>'P104'!$AP29+'P104'!$AQ29</f>
        <v>37.88228232</v>
      </c>
    </row>
    <row r="30" ht="14.25" customHeight="1">
      <c r="A30" s="137" t="s">
        <v>401</v>
      </c>
      <c r="B30" s="136">
        <v>2.02310785E8</v>
      </c>
      <c r="C30" s="214" t="s">
        <v>402</v>
      </c>
      <c r="D30" s="215">
        <v>4.0</v>
      </c>
      <c r="E30" s="49"/>
      <c r="F30" s="139">
        <v>1.0</v>
      </c>
      <c r="G30" s="139">
        <v>1.162615431</v>
      </c>
      <c r="H30" s="139">
        <v>1.0</v>
      </c>
      <c r="I30" s="52">
        <v>2.25</v>
      </c>
      <c r="J30" s="53">
        <v>2.0</v>
      </c>
      <c r="K30" s="54">
        <v>3.95</v>
      </c>
      <c r="L30" s="55">
        <f>IF(I30&lt;1.79,SUM(I30:J30), SUM('P104'!$Q30:$S30))</f>
        <v>8.45</v>
      </c>
      <c r="M30" s="52">
        <v>2.75</v>
      </c>
      <c r="N30" s="53">
        <v>2.0</v>
      </c>
      <c r="O30" s="54">
        <v>3.7</v>
      </c>
      <c r="P30" s="55">
        <f>IF(M30&lt;1.79,SUM(M30:N30), SUM('P104'!$Q30:$S30))</f>
        <v>8.45</v>
      </c>
      <c r="Q30" s="52">
        <v>2.75</v>
      </c>
      <c r="R30" s="53">
        <v>2.0</v>
      </c>
      <c r="S30" s="54">
        <v>3.7</v>
      </c>
      <c r="T30" s="55">
        <f>IF(Q30&lt;1.79,SUM(Q30:R30), SUM('P104'!$Q30:$S30))</f>
        <v>8.45</v>
      </c>
      <c r="U30" s="56">
        <f>('P104'!$L30+'P104'!$P30+'P104'!$T30)*'P104'!$F30</f>
        <v>25.35</v>
      </c>
      <c r="V30" s="57">
        <v>3.7</v>
      </c>
      <c r="W30" s="57">
        <v>6.6</v>
      </c>
      <c r="X30" s="58">
        <f>SUM('P104'!$V30:$W30)*'P104'!$G30</f>
        <v>11.97493894</v>
      </c>
      <c r="Y30" s="216">
        <v>2.0</v>
      </c>
      <c r="Z30" s="216">
        <v>1.5</v>
      </c>
      <c r="AA30" s="216">
        <v>5.0</v>
      </c>
      <c r="AB30" s="60" t="str">
        <f>IF(SUM('P104'!$Y30:$AA30)&gt;5.9,"SI","NO")</f>
        <v>SI</v>
      </c>
      <c r="AC30" s="61">
        <f>SUM('P104'!$Y30:$AA30)</f>
        <v>8.5</v>
      </c>
      <c r="AD30" s="62">
        <v>0.25</v>
      </c>
      <c r="AE30" s="62">
        <v>6.0</v>
      </c>
      <c r="AF30" s="63" t="str">
        <f>IF('P104'!$AG30&gt;5.9,"SI","NO")</f>
        <v>SI</v>
      </c>
      <c r="AG30" s="64">
        <f>SUM('P104'!$AD30:$AE30)</f>
        <v>6.25</v>
      </c>
      <c r="AH30" s="65">
        <v>4.5</v>
      </c>
      <c r="AI30" s="65">
        <v>4.5</v>
      </c>
      <c r="AJ30" s="66">
        <f>AVERAGE('P104'!$AH30:$AI30)*'P104'!$H30</f>
        <v>4.5</v>
      </c>
      <c r="AK30" s="142">
        <v>1.0</v>
      </c>
      <c r="AL30" s="143">
        <v>8.0</v>
      </c>
      <c r="AM30" s="144">
        <v>7.0</v>
      </c>
      <c r="AN30" s="130">
        <f>(1*('P104'!$AL30+'P104'!$AM30))*'P104'!$AK30</f>
        <v>15</v>
      </c>
      <c r="AO30" s="70">
        <v>8.0</v>
      </c>
      <c r="AP30" s="71">
        <f>SUM('P104'!$U30)</f>
        <v>25.35</v>
      </c>
      <c r="AQ30" s="134">
        <f>SUM(AN30,AJ30,AG30,AC30,X30,('P104'!$AO30)*H30)</f>
        <v>54.22493894</v>
      </c>
      <c r="AR30" s="217">
        <f>'P104'!$AP30+'P104'!$AQ30</f>
        <v>79.57493894</v>
      </c>
    </row>
    <row r="31" ht="14.25" customHeight="1">
      <c r="A31" s="145" t="s">
        <v>403</v>
      </c>
      <c r="B31" s="146">
        <v>2.02503462E8</v>
      </c>
      <c r="C31" s="218" t="s">
        <v>404</v>
      </c>
      <c r="D31" s="219">
        <v>2.0</v>
      </c>
      <c r="E31" s="49"/>
      <c r="F31" s="139">
        <v>1.069173327</v>
      </c>
      <c r="G31" s="139">
        <v>1.025135659</v>
      </c>
      <c r="H31" s="139">
        <v>0.914915435</v>
      </c>
      <c r="I31" s="52">
        <v>3.0</v>
      </c>
      <c r="J31" s="53">
        <v>2.0</v>
      </c>
      <c r="K31" s="194">
        <v>4.05</v>
      </c>
      <c r="L31" s="55">
        <f>IF(I31&lt;1.79,SUM(I31:J31), SUM('P104'!$Q31:$S31))</f>
        <v>9.75</v>
      </c>
      <c r="M31" s="52">
        <v>3.0</v>
      </c>
      <c r="N31" s="53">
        <v>2.0</v>
      </c>
      <c r="O31" s="54">
        <v>4.75</v>
      </c>
      <c r="P31" s="55">
        <f>IF(M31&lt;1.79,SUM(M31:N31), SUM('P104'!$Q31:$S31))</f>
        <v>9.75</v>
      </c>
      <c r="Q31" s="52">
        <v>3.0</v>
      </c>
      <c r="R31" s="53">
        <v>2.0</v>
      </c>
      <c r="S31" s="54">
        <v>4.75</v>
      </c>
      <c r="T31" s="55">
        <f>IF(Q31&lt;1.79,SUM(Q31:R31), SUM('P104'!$Q31:$S31))</f>
        <v>9.75</v>
      </c>
      <c r="U31" s="56">
        <f>('P104'!$L31+'P104'!$P31+'P104'!$T31)*'P104'!$F31</f>
        <v>31.27331981</v>
      </c>
      <c r="V31" s="57">
        <v>4.45</v>
      </c>
      <c r="W31" s="57">
        <v>6.4</v>
      </c>
      <c r="X31" s="58">
        <f>SUM('P104'!$V31:$W31)*'P104'!$G31</f>
        <v>11.1227219</v>
      </c>
      <c r="Y31" s="216">
        <v>1.5</v>
      </c>
      <c r="Z31" s="216">
        <v>0.0</v>
      </c>
      <c r="AA31" s="216">
        <v>0.0</v>
      </c>
      <c r="AB31" s="60" t="str">
        <f>IF(SUM('P104'!$Y31:$AA31)&gt;5.9,"SI","NO")</f>
        <v>NO</v>
      </c>
      <c r="AC31" s="61">
        <f>SUM('P104'!$Y31:$AA31)</f>
        <v>1.5</v>
      </c>
      <c r="AD31" s="62">
        <v>1.5</v>
      </c>
      <c r="AE31" s="62">
        <v>3.0</v>
      </c>
      <c r="AF31" s="63" t="str">
        <f>IF('P104'!$AG31&gt;5.9,"SI","NO")</f>
        <v>NO</v>
      </c>
      <c r="AG31" s="64">
        <f>SUM('P104'!$AD31:$AE31)</f>
        <v>4.5</v>
      </c>
      <c r="AH31" s="141">
        <f>IF('P104'!$AF31="NO",0," ")</f>
        <v>0</v>
      </c>
      <c r="AI31" s="141">
        <f>IF('P104'!$AF31="NO",0," ")</f>
        <v>0</v>
      </c>
      <c r="AJ31" s="66">
        <f>AVERAGE('P104'!$AH31:$AI31)*'P104'!$H31</f>
        <v>0</v>
      </c>
      <c r="AK31" s="142">
        <v>0.0</v>
      </c>
      <c r="AL31" s="143">
        <v>0.0</v>
      </c>
      <c r="AM31" s="144">
        <v>0.0</v>
      </c>
      <c r="AN31" s="130">
        <f>(1*('P104'!$AL31+'P104'!$AM31))*'P104'!$AK31</f>
        <v>0</v>
      </c>
      <c r="AO31" s="70">
        <v>6.0</v>
      </c>
      <c r="AP31" s="71">
        <f>SUM('P104'!$U31)</f>
        <v>31.27331981</v>
      </c>
      <c r="AQ31" s="134">
        <f>SUM(AN31,AJ31,AG31,AC31,X31,('P104'!$AO31)*H31)</f>
        <v>22.61221451</v>
      </c>
      <c r="AR31" s="217">
        <f>'P104'!$AP31+'P104'!$AQ31</f>
        <v>53.88553432</v>
      </c>
    </row>
    <row r="32" ht="14.25" customHeight="1">
      <c r="A32" s="137" t="s">
        <v>405</v>
      </c>
      <c r="B32" s="136">
        <v>2.02416335E8</v>
      </c>
      <c r="C32" s="214" t="s">
        <v>406</v>
      </c>
      <c r="D32" s="215">
        <v>3.0</v>
      </c>
      <c r="E32" s="49"/>
      <c r="F32" s="139">
        <v>1.204191349</v>
      </c>
      <c r="G32" s="139">
        <v>1.228740787</v>
      </c>
      <c r="H32" s="139">
        <v>1.245145613</v>
      </c>
      <c r="I32" s="52">
        <v>2.25</v>
      </c>
      <c r="J32" s="53">
        <v>2.0</v>
      </c>
      <c r="K32" s="54">
        <v>3.95</v>
      </c>
      <c r="L32" s="55">
        <f>IF(I32&lt;1.79,SUM(I32:J32), SUM('P104'!$Q32:$S32))</f>
        <v>9.7</v>
      </c>
      <c r="M32" s="52">
        <v>2.75</v>
      </c>
      <c r="N32" s="53">
        <v>2.0</v>
      </c>
      <c r="O32" s="54">
        <v>4.95</v>
      </c>
      <c r="P32" s="55">
        <f>IF(M32&lt;1.79,SUM(M32:N32), SUM('P104'!$Q32:$S32))</f>
        <v>9.7</v>
      </c>
      <c r="Q32" s="52">
        <v>2.75</v>
      </c>
      <c r="R32" s="53">
        <v>2.0</v>
      </c>
      <c r="S32" s="54">
        <v>4.95</v>
      </c>
      <c r="T32" s="55">
        <f>IF(Q32&lt;1.79,SUM(Q32:R32), SUM('P104'!$Q32:$S32))</f>
        <v>9.7</v>
      </c>
      <c r="U32" s="56">
        <f>('P104'!$L32+'P104'!$P32+'P104'!$T32)*'P104'!$F32</f>
        <v>35.04196826</v>
      </c>
      <c r="V32" s="57">
        <v>3.95</v>
      </c>
      <c r="W32" s="57">
        <v>7.7</v>
      </c>
      <c r="X32" s="58">
        <f>SUM('P104'!$V32:$W32)*'P104'!$G32</f>
        <v>14.31483017</v>
      </c>
      <c r="Y32" s="221">
        <v>1.0</v>
      </c>
      <c r="Z32" s="216">
        <v>0.0</v>
      </c>
      <c r="AA32" s="216">
        <v>1.25</v>
      </c>
      <c r="AB32" s="60" t="str">
        <f>IF(SUM('P104'!$Z32:$AA32)&gt;5.9,"SI","NO")</f>
        <v>NO</v>
      </c>
      <c r="AC32" s="61">
        <f>SUM('P104'!$Y32:$AA32)</f>
        <v>2.25</v>
      </c>
      <c r="AD32" s="62">
        <v>1.5</v>
      </c>
      <c r="AE32" s="62">
        <v>5.0</v>
      </c>
      <c r="AF32" s="63" t="str">
        <f>IF('P104'!$AG32&gt;5.9,"SI","NO")</f>
        <v>SI</v>
      </c>
      <c r="AG32" s="64">
        <f>SUM('P104'!$AD32:$AE32)</f>
        <v>6.5</v>
      </c>
      <c r="AH32" s="65">
        <v>4.75</v>
      </c>
      <c r="AI32" s="65">
        <v>5.0</v>
      </c>
      <c r="AJ32" s="66">
        <f>AVERAGE('P104'!$AH32:$AI32)*'P104'!$H32</f>
        <v>6.070084863</v>
      </c>
      <c r="AK32" s="142">
        <v>1.0</v>
      </c>
      <c r="AL32" s="143">
        <v>0.0</v>
      </c>
      <c r="AM32" s="144">
        <v>0.0</v>
      </c>
      <c r="AN32" s="130">
        <f>(1*('P104'!$AL32+'P104'!$AM32))*'P104'!$AK32</f>
        <v>0</v>
      </c>
      <c r="AO32" s="70">
        <v>9.0</v>
      </c>
      <c r="AP32" s="71">
        <f>SUM('P104'!$U32)</f>
        <v>35.04196826</v>
      </c>
      <c r="AQ32" s="134">
        <f>SUM(AN32,AJ32,AG32,AC32,X32,('P104'!$AO32)*H32)</f>
        <v>40.34122555</v>
      </c>
      <c r="AR32" s="217">
        <f>'P104'!$AP32+'P104'!$AQ32</f>
        <v>75.3831938</v>
      </c>
    </row>
    <row r="33" ht="14.25" customHeight="1">
      <c r="A33" s="145" t="s">
        <v>407</v>
      </c>
      <c r="B33" s="146">
        <v>2.02411922E8</v>
      </c>
      <c r="C33" s="218" t="s">
        <v>408</v>
      </c>
      <c r="D33" s="219">
        <v>5.0</v>
      </c>
      <c r="E33" s="49"/>
      <c r="F33" s="139">
        <v>1.083044681</v>
      </c>
      <c r="G33" s="139">
        <v>1.061358664</v>
      </c>
      <c r="H33" s="139">
        <v>1.074695659</v>
      </c>
      <c r="I33" s="52">
        <v>1.5</v>
      </c>
      <c r="J33" s="53">
        <v>2.0</v>
      </c>
      <c r="K33" s="54">
        <v>4.65</v>
      </c>
      <c r="L33" s="55">
        <f>IF(I33&lt;1.79,SUM(I33:J33), SUM('P104'!$Q33:$S33))</f>
        <v>3.5</v>
      </c>
      <c r="M33" s="52">
        <v>1.5</v>
      </c>
      <c r="N33" s="53">
        <v>2.0</v>
      </c>
      <c r="O33" s="54">
        <v>4.2</v>
      </c>
      <c r="P33" s="55">
        <f>IF(M33&lt;1.79,SUM(M33:N33), SUM('P104'!$Q33:$S33))</f>
        <v>3.5</v>
      </c>
      <c r="Q33" s="52">
        <v>1.5</v>
      </c>
      <c r="R33" s="53">
        <v>2.0</v>
      </c>
      <c r="S33" s="54">
        <v>4.2</v>
      </c>
      <c r="T33" s="55">
        <f>IF(Q33&lt;1.79,SUM(Q33:R33), SUM('P104'!$Q33:$S33))</f>
        <v>3.5</v>
      </c>
      <c r="U33" s="56">
        <f>('P104'!$L33+'P104'!$P33+'P104'!$T33)*'P104'!$F33</f>
        <v>11.37196915</v>
      </c>
      <c r="V33" s="57">
        <v>3.8</v>
      </c>
      <c r="W33" s="57">
        <v>5.8</v>
      </c>
      <c r="X33" s="58">
        <f>SUM('P104'!$V33:$W33)*'P104'!$G33</f>
        <v>10.18904317</v>
      </c>
      <c r="Y33" s="216">
        <v>1.0</v>
      </c>
      <c r="Z33" s="216">
        <v>0.0</v>
      </c>
      <c r="AA33" s="216">
        <v>0.0</v>
      </c>
      <c r="AB33" s="60" t="str">
        <f>IF(SUM('P104'!$Y33:$AA33)&gt;5.9,"SI","NO")</f>
        <v>NO</v>
      </c>
      <c r="AC33" s="61">
        <f>SUM('P104'!$Y33:$AA33)</f>
        <v>1</v>
      </c>
      <c r="AD33" s="62">
        <v>0.5</v>
      </c>
      <c r="AE33" s="62">
        <v>6.0</v>
      </c>
      <c r="AF33" s="63" t="str">
        <f>IF('P104'!$AG33&gt;5.9,"SI","NO")</f>
        <v>SI</v>
      </c>
      <c r="AG33" s="64">
        <f>SUM('P104'!$AD33:$AE33)</f>
        <v>6.5</v>
      </c>
      <c r="AH33" s="65">
        <v>3.6</v>
      </c>
      <c r="AI33" s="65">
        <v>1.5</v>
      </c>
      <c r="AJ33" s="66">
        <f>AVERAGE('P104'!$AH33:$AI33)*'P104'!$H33</f>
        <v>2.74047393</v>
      </c>
      <c r="AK33" s="142">
        <v>1.0</v>
      </c>
      <c r="AL33" s="143">
        <v>0.0</v>
      </c>
      <c r="AM33" s="144">
        <v>0.0</v>
      </c>
      <c r="AN33" s="130">
        <f>(1*('P104'!$AL33+'P104'!$AM33))*'P104'!$AK33</f>
        <v>0</v>
      </c>
      <c r="AO33" s="70">
        <v>7.25</v>
      </c>
      <c r="AP33" s="71">
        <f>SUM('P104'!$U33)</f>
        <v>11.37196915</v>
      </c>
      <c r="AQ33" s="134">
        <f>SUM(AN33,AJ33,AG33,AC33,X33,('P104'!$AO33)*H33)</f>
        <v>28.22106063</v>
      </c>
      <c r="AR33" s="217">
        <f>'P104'!$AP33+'P104'!$AQ33</f>
        <v>39.59302978</v>
      </c>
    </row>
    <row r="34" ht="14.25" customHeight="1">
      <c r="A34" s="137" t="s">
        <v>409</v>
      </c>
      <c r="B34" s="136">
        <v>2.02502431E8</v>
      </c>
      <c r="C34" s="214" t="s">
        <v>410</v>
      </c>
      <c r="D34" s="215">
        <v>5.0</v>
      </c>
      <c r="E34" s="49"/>
      <c r="F34" s="139">
        <v>1.026889658</v>
      </c>
      <c r="G34" s="139">
        <v>1.033050665</v>
      </c>
      <c r="H34" s="139">
        <v>1.033078633</v>
      </c>
      <c r="I34" s="52">
        <v>3.0</v>
      </c>
      <c r="J34" s="53">
        <v>2.0</v>
      </c>
      <c r="K34" s="54">
        <v>4.65</v>
      </c>
      <c r="L34" s="55">
        <f>IF(I34&lt;1.79,SUM(I34:J34), SUM('P104'!$Q34:$S34))</f>
        <v>8.45</v>
      </c>
      <c r="M34" s="52">
        <v>2.25</v>
      </c>
      <c r="N34" s="53">
        <v>2.0</v>
      </c>
      <c r="O34" s="54">
        <v>4.2</v>
      </c>
      <c r="P34" s="55">
        <f>IF(M34&lt;1.79,SUM(M34:N34), SUM('P104'!$Q34:$S34))</f>
        <v>8.45</v>
      </c>
      <c r="Q34" s="52">
        <v>2.25</v>
      </c>
      <c r="R34" s="53">
        <v>2.0</v>
      </c>
      <c r="S34" s="54">
        <v>4.2</v>
      </c>
      <c r="T34" s="55">
        <f>IF(Q34&lt;1.79,SUM(Q34:R34), SUM('P104'!$Q34:$S34))</f>
        <v>8.45</v>
      </c>
      <c r="U34" s="56">
        <f>('P104'!$L34+'P104'!$P34+'P104'!$T34)*'P104'!$F34</f>
        <v>26.03165283</v>
      </c>
      <c r="V34" s="57">
        <v>3.8</v>
      </c>
      <c r="W34" s="57">
        <v>5.8</v>
      </c>
      <c r="X34" s="58">
        <f>SUM('P104'!$V34:$W34)*'P104'!$G34</f>
        <v>9.917286384</v>
      </c>
      <c r="Y34" s="216">
        <v>2.0</v>
      </c>
      <c r="Z34" s="216">
        <v>1.5</v>
      </c>
      <c r="AA34" s="216">
        <v>5.0</v>
      </c>
      <c r="AB34" s="60" t="str">
        <f>IF(SUM('P104'!$Y34:$AA34)&gt;5.9,"SI","NO")</f>
        <v>SI</v>
      </c>
      <c r="AC34" s="61">
        <f>SUM('P104'!$Y34:$AA34)</f>
        <v>8.5</v>
      </c>
      <c r="AD34" s="62">
        <v>0.5</v>
      </c>
      <c r="AE34" s="62">
        <v>6.0</v>
      </c>
      <c r="AF34" s="63" t="str">
        <f>IF('P104'!$AG34&gt;5.9,"SI","NO")</f>
        <v>SI</v>
      </c>
      <c r="AG34" s="64">
        <f>SUM('P104'!$AD34:$AE34)</f>
        <v>6.5</v>
      </c>
      <c r="AH34" s="65">
        <v>3.6</v>
      </c>
      <c r="AI34" s="65">
        <v>1.5</v>
      </c>
      <c r="AJ34" s="66">
        <f>AVERAGE('P104'!$AH34:$AI34)*'P104'!$H34</f>
        <v>2.634350514</v>
      </c>
      <c r="AK34" s="142">
        <v>1.0</v>
      </c>
      <c r="AL34" s="143">
        <v>3.0</v>
      </c>
      <c r="AM34" s="144">
        <v>6.0</v>
      </c>
      <c r="AN34" s="130">
        <f>(1*('P104'!$AL34+'P104'!$AM34))*'P104'!$AK34</f>
        <v>9</v>
      </c>
      <c r="AO34" s="70">
        <v>7.25</v>
      </c>
      <c r="AP34" s="71">
        <f>SUM('P104'!$U34)</f>
        <v>26.03165283</v>
      </c>
      <c r="AQ34" s="134">
        <f>SUM(AN34,AJ34,AG34,AC34,X34,('P104'!$AO34)*H34)</f>
        <v>44.04145699</v>
      </c>
      <c r="AR34" s="217">
        <f>'P104'!$AP34+'P104'!$AQ34</f>
        <v>70.07310982</v>
      </c>
    </row>
    <row r="35" ht="14.25" customHeight="1">
      <c r="A35" s="145" t="s">
        <v>411</v>
      </c>
      <c r="B35" s="146">
        <v>2.02409405E8</v>
      </c>
      <c r="C35" s="218" t="s">
        <v>412</v>
      </c>
      <c r="D35" s="219">
        <v>7.0</v>
      </c>
      <c r="E35" s="49"/>
      <c r="F35" s="139">
        <v>1.016394535</v>
      </c>
      <c r="G35" s="139">
        <v>1.026879519</v>
      </c>
      <c r="H35" s="139">
        <v>1.038179412</v>
      </c>
      <c r="I35" s="52">
        <v>2.25</v>
      </c>
      <c r="J35" s="53">
        <v>2.0</v>
      </c>
      <c r="K35" s="54">
        <v>3.8</v>
      </c>
      <c r="L35" s="55">
        <f>IF(I35&lt;1.79,SUM(I35:J35), SUM('P104'!$Q35:$S35))</f>
        <v>7.5</v>
      </c>
      <c r="M35" s="52">
        <v>2.0</v>
      </c>
      <c r="N35" s="53">
        <v>2.0</v>
      </c>
      <c r="O35" s="54">
        <v>3.5</v>
      </c>
      <c r="P35" s="55">
        <f>IF(M35&lt;1.79,SUM(M35:N35), SUM('P104'!$Q35:$S35))</f>
        <v>7.5</v>
      </c>
      <c r="Q35" s="52">
        <v>2.0</v>
      </c>
      <c r="R35" s="53">
        <v>2.0</v>
      </c>
      <c r="S35" s="54">
        <v>3.5</v>
      </c>
      <c r="T35" s="55">
        <f>IF(Q35&lt;1.79,SUM(Q35:R35), SUM('P104'!$Q35:$S35))</f>
        <v>7.5</v>
      </c>
      <c r="U35" s="56">
        <f>('P104'!$L35+'P104'!$P35+'P104'!$T35)*'P104'!$F35</f>
        <v>22.86887704</v>
      </c>
      <c r="V35" s="57">
        <v>3.8</v>
      </c>
      <c r="W35" s="57">
        <v>6.2</v>
      </c>
      <c r="X35" s="58">
        <f>SUM('P104'!$V35:$W35)*'P104'!$G35</f>
        <v>10.26879519</v>
      </c>
      <c r="Y35" s="216">
        <v>1.0</v>
      </c>
      <c r="Z35" s="216">
        <v>1.5</v>
      </c>
      <c r="AA35" s="216">
        <v>0.0</v>
      </c>
      <c r="AB35" s="60" t="str">
        <f>IF(SUM('P104'!$Y35:$AA35)&gt;5.9,"SI","NO")</f>
        <v>NO</v>
      </c>
      <c r="AC35" s="61">
        <f>SUM('P104'!$Y35:$AA35)</f>
        <v>2.5</v>
      </c>
      <c r="AD35" s="62">
        <v>2.0</v>
      </c>
      <c r="AE35" s="62">
        <v>3.0</v>
      </c>
      <c r="AF35" s="63" t="str">
        <f>IF('P104'!$AG35&gt;5.9,"SI","NO")</f>
        <v>NO</v>
      </c>
      <c r="AG35" s="64">
        <f>SUM('P104'!$AD35:$AE35)</f>
        <v>5</v>
      </c>
      <c r="AH35" s="141">
        <f>IF('P104'!$AF35="NO",0," ")</f>
        <v>0</v>
      </c>
      <c r="AI35" s="141">
        <f>IF('P104'!$AF35="NO",0," ")</f>
        <v>0</v>
      </c>
      <c r="AJ35" s="66">
        <f>AVERAGE('P104'!$AH35:$AI35)*'P104'!$H35</f>
        <v>0</v>
      </c>
      <c r="AK35" s="142">
        <v>0.0</v>
      </c>
      <c r="AL35" s="143">
        <v>0.0</v>
      </c>
      <c r="AM35" s="144">
        <v>0.0</v>
      </c>
      <c r="AN35" s="130">
        <f>(1*('P104'!$AL35+'P104'!$AM35))*'P104'!$AK35</f>
        <v>0</v>
      </c>
      <c r="AO35" s="70">
        <v>6.5</v>
      </c>
      <c r="AP35" s="71">
        <f>SUM('P104'!$U35)</f>
        <v>22.86887704</v>
      </c>
      <c r="AQ35" s="134">
        <f>SUM(AN35,AJ35,AG35,AC35,X35,('P104'!$AO35)*H35)</f>
        <v>24.51696137</v>
      </c>
      <c r="AR35" s="217">
        <f>'P104'!$AP35+'P104'!$AQ35</f>
        <v>47.38583841</v>
      </c>
    </row>
    <row r="36" ht="14.25" customHeight="1">
      <c r="A36" s="137" t="s">
        <v>413</v>
      </c>
      <c r="B36" s="136">
        <v>2.02509576E8</v>
      </c>
      <c r="C36" s="214" t="s">
        <v>414</v>
      </c>
      <c r="D36" s="215">
        <v>9.0</v>
      </c>
      <c r="E36" s="49"/>
      <c r="F36" s="139">
        <v>1.089564518</v>
      </c>
      <c r="G36" s="139">
        <v>1.076392442</v>
      </c>
      <c r="H36" s="139">
        <v>0.5</v>
      </c>
      <c r="I36" s="52">
        <v>2.25</v>
      </c>
      <c r="J36" s="53">
        <v>2.0</v>
      </c>
      <c r="K36" s="54">
        <v>4.5</v>
      </c>
      <c r="L36" s="55">
        <f>IF(I36&lt;1.79,SUM(I36:J36), SUM('P104'!$Q36:$S36))</f>
        <v>9.5</v>
      </c>
      <c r="M36" s="52">
        <v>3.0</v>
      </c>
      <c r="N36" s="53">
        <v>2.0</v>
      </c>
      <c r="O36" s="54">
        <v>4.5</v>
      </c>
      <c r="P36" s="55">
        <f>IF(M36&lt;1.79,SUM(M36:N36), SUM('P104'!$Q36:$S36))</f>
        <v>9.5</v>
      </c>
      <c r="Q36" s="52">
        <v>3.0</v>
      </c>
      <c r="R36" s="53">
        <v>2.0</v>
      </c>
      <c r="S36" s="54">
        <v>4.5</v>
      </c>
      <c r="T36" s="55">
        <f>IF(Q36&lt;1.79,SUM(Q36:R36), SUM('P104'!$Q36:$S36))</f>
        <v>9.5</v>
      </c>
      <c r="U36" s="56">
        <f>('P104'!$L36+'P104'!$P36+'P104'!$T36)*'P104'!$F36</f>
        <v>31.05258876</v>
      </c>
      <c r="V36" s="57">
        <v>3.7</v>
      </c>
      <c r="W36" s="57">
        <v>6.3</v>
      </c>
      <c r="X36" s="58">
        <f>SUM('P104'!$V36:$W36)*'P104'!$G36</f>
        <v>10.76392442</v>
      </c>
      <c r="Y36" s="216">
        <v>1.0</v>
      </c>
      <c r="Z36" s="216">
        <v>3.0</v>
      </c>
      <c r="AA36" s="216">
        <v>3.75</v>
      </c>
      <c r="AB36" s="60" t="str">
        <f>IF(SUM('P104'!$Y36:$AA36)&gt;5.9,"SI","NO")</f>
        <v>SI</v>
      </c>
      <c r="AC36" s="61">
        <f>SUM('P104'!$Y36:$AA36)</f>
        <v>7.75</v>
      </c>
      <c r="AD36" s="62">
        <v>2.0</v>
      </c>
      <c r="AE36" s="62">
        <v>3.0</v>
      </c>
      <c r="AF36" s="63" t="str">
        <f>IF('P104'!$AG36&gt;5.9,"SI","NO")</f>
        <v>NO</v>
      </c>
      <c r="AG36" s="64">
        <f>SUM('P104'!$AD36:$AE36)</f>
        <v>5</v>
      </c>
      <c r="AH36" s="141">
        <f>IF('P104'!$AF36="NO",0," ")</f>
        <v>0</v>
      </c>
      <c r="AI36" s="141">
        <f>IF('P104'!$AF36="NO",0," ")</f>
        <v>0</v>
      </c>
      <c r="AJ36" s="66">
        <f>AVERAGE('P104'!$AH36:$AI36)*'P104'!$H36</f>
        <v>0</v>
      </c>
      <c r="AK36" s="142">
        <v>0.0</v>
      </c>
      <c r="AL36" s="143">
        <v>0.0</v>
      </c>
      <c r="AM36" s="144">
        <v>0.0</v>
      </c>
      <c r="AN36" s="130">
        <f>(1*('P104'!$AL36+'P104'!$AM36))*'P104'!$AK36</f>
        <v>0</v>
      </c>
      <c r="AO36" s="70">
        <v>6.5</v>
      </c>
      <c r="AP36" s="71">
        <f>SUM('P104'!$U36)</f>
        <v>31.05258876</v>
      </c>
      <c r="AQ36" s="134">
        <f>SUM(AN36,AJ36,AG36,AC36,X36,('P104'!$AO36)*H36)</f>
        <v>26.76392442</v>
      </c>
      <c r="AR36" s="217">
        <f>'P104'!$AP36+'P104'!$AQ36</f>
        <v>57.81651318</v>
      </c>
    </row>
    <row r="37" ht="14.25" customHeight="1">
      <c r="A37" s="145" t="s">
        <v>415</v>
      </c>
      <c r="B37" s="146">
        <v>2.02505681E8</v>
      </c>
      <c r="C37" s="218" t="s">
        <v>416</v>
      </c>
      <c r="D37" s="219">
        <v>10.0</v>
      </c>
      <c r="E37" s="49"/>
      <c r="F37" s="139">
        <v>0.5</v>
      </c>
      <c r="G37" s="139">
        <v>1.077459763</v>
      </c>
      <c r="H37" s="139">
        <v>1.078514925</v>
      </c>
      <c r="I37" s="52">
        <v>2.25</v>
      </c>
      <c r="J37" s="53">
        <v>2.0</v>
      </c>
      <c r="K37" s="194">
        <v>4.05</v>
      </c>
      <c r="L37" s="55">
        <f>IF(I37&lt;1.79,SUM(I37:J37), SUM('P104'!$Q37:$S37))</f>
        <v>7.05</v>
      </c>
      <c r="M37" s="52">
        <v>1.0</v>
      </c>
      <c r="N37" s="53">
        <v>2.0</v>
      </c>
      <c r="O37" s="54">
        <v>4.05</v>
      </c>
      <c r="P37" s="55">
        <f>IF(M37&lt;1.79,SUM(M37:N37), SUM('P104'!$Q37:$S37))</f>
        <v>3</v>
      </c>
      <c r="Q37" s="52">
        <v>1.0</v>
      </c>
      <c r="R37" s="53">
        <v>2.0</v>
      </c>
      <c r="S37" s="54">
        <v>4.05</v>
      </c>
      <c r="T37" s="55">
        <f>IF(Q37&lt;1.79,SUM(Q37:R37), SUM('P104'!$Q37:$S37))</f>
        <v>3</v>
      </c>
      <c r="U37" s="56">
        <f>('P104'!$L37+'P104'!$P37+'P104'!$T37)*'P104'!$F37</f>
        <v>6.525</v>
      </c>
      <c r="V37" s="57">
        <v>3.8</v>
      </c>
      <c r="W37" s="57">
        <v>6.2</v>
      </c>
      <c r="X37" s="58">
        <f>SUM('P104'!$V37:$W37)*'P104'!$G37</f>
        <v>10.77459763</v>
      </c>
      <c r="Y37" s="216">
        <v>1.5</v>
      </c>
      <c r="Z37" s="216">
        <v>1.5</v>
      </c>
      <c r="AA37" s="216">
        <v>3.75</v>
      </c>
      <c r="AB37" s="60" t="str">
        <f>IF(SUM('P104'!$Y37:$AA37)&gt;5.9,"SI","NO")</f>
        <v>SI</v>
      </c>
      <c r="AC37" s="61">
        <f>SUM('P104'!$Y37:$AA37)</f>
        <v>6.75</v>
      </c>
      <c r="AD37" s="62">
        <v>2.0</v>
      </c>
      <c r="AE37" s="62">
        <v>3.0</v>
      </c>
      <c r="AF37" s="63" t="str">
        <f>IF('P104'!$AG37&gt;5.9,"SI","NO")</f>
        <v>NO</v>
      </c>
      <c r="AG37" s="64">
        <f>SUM('P104'!$AD37:$AE37)</f>
        <v>5</v>
      </c>
      <c r="AH37" s="141">
        <f>IF('P104'!$AF37="NO",0," ")</f>
        <v>0</v>
      </c>
      <c r="AI37" s="141">
        <f>IF('P104'!$AF37="NO",0," ")</f>
        <v>0</v>
      </c>
      <c r="AJ37" s="66">
        <f>AVERAGE('P104'!$AH37:$AI37)*'P104'!$H37</f>
        <v>0</v>
      </c>
      <c r="AK37" s="142">
        <v>0.0</v>
      </c>
      <c r="AL37" s="143">
        <v>0.0</v>
      </c>
      <c r="AM37" s="144">
        <v>0.0</v>
      </c>
      <c r="AN37" s="130">
        <f>(1*('P104'!$AL37+'P104'!$AM37))*'P104'!$AK37</f>
        <v>0</v>
      </c>
      <c r="AO37" s="70">
        <v>5.0</v>
      </c>
      <c r="AP37" s="71">
        <f>SUM('P104'!$U37)</f>
        <v>6.525</v>
      </c>
      <c r="AQ37" s="134">
        <f>SUM(AN37,AJ37,AG37,AC37,X37,('P104'!$AO37)*H37)</f>
        <v>27.91717226</v>
      </c>
      <c r="AR37" s="217">
        <f>'P104'!$AP37+'P104'!$AQ37</f>
        <v>34.44217226</v>
      </c>
    </row>
    <row r="38" ht="14.25" customHeight="1">
      <c r="A38" s="137" t="s">
        <v>417</v>
      </c>
      <c r="B38" s="136">
        <v>2.02505202E8</v>
      </c>
      <c r="C38" s="214" t="s">
        <v>418</v>
      </c>
      <c r="D38" s="215">
        <v>1.0</v>
      </c>
      <c r="E38" s="49"/>
      <c r="F38" s="139">
        <v>0.958631503</v>
      </c>
      <c r="G38" s="139">
        <v>1.004813951</v>
      </c>
      <c r="H38" s="139">
        <v>0.941028475</v>
      </c>
      <c r="I38" s="52">
        <v>2.25</v>
      </c>
      <c r="J38" s="53">
        <v>2.0</v>
      </c>
      <c r="K38" s="54">
        <v>4.6</v>
      </c>
      <c r="L38" s="55">
        <f>IF(I38&lt;1.79,SUM(I38:J38), SUM('P104'!$Q38:$S38))</f>
        <v>7.35</v>
      </c>
      <c r="M38" s="52">
        <v>1.25</v>
      </c>
      <c r="N38" s="53">
        <v>2.0</v>
      </c>
      <c r="O38" s="54">
        <v>4.1</v>
      </c>
      <c r="P38" s="55">
        <f>IF(M38&lt;1.79,SUM(M38:N38), SUM('P104'!$Q38:$S38))</f>
        <v>3.25</v>
      </c>
      <c r="Q38" s="52">
        <v>1.25</v>
      </c>
      <c r="R38" s="53">
        <v>2.0</v>
      </c>
      <c r="S38" s="54">
        <v>4.1</v>
      </c>
      <c r="T38" s="55">
        <f>IF(Q38&lt;1.79,SUM(Q38:R38), SUM('P104'!$Q38:$S38))</f>
        <v>3.25</v>
      </c>
      <c r="U38" s="56">
        <f>('P104'!$L38+'P104'!$P38+'P104'!$T38)*'P104'!$F38</f>
        <v>13.27704632</v>
      </c>
      <c r="V38" s="57">
        <v>2.85</v>
      </c>
      <c r="W38" s="57">
        <v>5.4</v>
      </c>
      <c r="X38" s="58">
        <f>SUM('P104'!$V38:$W38)*'P104'!$G38</f>
        <v>8.289715096</v>
      </c>
      <c r="Y38" s="216">
        <v>1.0</v>
      </c>
      <c r="Z38" s="216">
        <v>1.5</v>
      </c>
      <c r="AA38" s="216">
        <v>5.0</v>
      </c>
      <c r="AB38" s="60" t="str">
        <f>IF(SUM('P104'!$Y38:$AA38)&gt;5.9,"SI","NO")</f>
        <v>SI</v>
      </c>
      <c r="AC38" s="61">
        <f>SUM('P104'!$Y38:$AA38)</f>
        <v>7.5</v>
      </c>
      <c r="AD38" s="62">
        <v>2.0</v>
      </c>
      <c r="AE38" s="62">
        <v>6.0</v>
      </c>
      <c r="AF38" s="63" t="str">
        <f>IF('P104'!$AG38&gt;5.9,"SI","NO")</f>
        <v>SI</v>
      </c>
      <c r="AG38" s="64">
        <f>SUM('P104'!$AD38:$AE38)</f>
        <v>8</v>
      </c>
      <c r="AH38" s="65">
        <v>4.5</v>
      </c>
      <c r="AI38" s="65">
        <v>5.0</v>
      </c>
      <c r="AJ38" s="66">
        <f>AVERAGE('P104'!$AH38:$AI38)*'P104'!$H38</f>
        <v>4.469885256</v>
      </c>
      <c r="AK38" s="142">
        <v>1.0</v>
      </c>
      <c r="AL38" s="143">
        <v>5.0</v>
      </c>
      <c r="AM38" s="144">
        <v>7.0</v>
      </c>
      <c r="AN38" s="130">
        <f>(1*('P104'!$AL38+'P104'!$AM38))*'P104'!$AK38</f>
        <v>12</v>
      </c>
      <c r="AO38" s="70">
        <v>7.25</v>
      </c>
      <c r="AP38" s="71">
        <f>SUM('P104'!$U38)</f>
        <v>13.27704632</v>
      </c>
      <c r="AQ38" s="134">
        <f>SUM(AN38,AJ38,AG38,AC38,X38,('P104'!$AO38)*H38)</f>
        <v>47.0820568</v>
      </c>
      <c r="AR38" s="217">
        <f>'P104'!$AP38+'P104'!$AQ38</f>
        <v>60.35910311</v>
      </c>
    </row>
    <row r="39" ht="14.25" customHeight="1">
      <c r="A39" s="145" t="s">
        <v>419</v>
      </c>
      <c r="B39" s="146">
        <v>2.02411773E8</v>
      </c>
      <c r="C39" s="218" t="s">
        <v>420</v>
      </c>
      <c r="D39" s="219">
        <v>3.0</v>
      </c>
      <c r="E39" s="49"/>
      <c r="F39" s="139">
        <v>0.5</v>
      </c>
      <c r="G39" s="139">
        <v>0.5</v>
      </c>
      <c r="H39" s="139">
        <v>0.5</v>
      </c>
      <c r="I39" s="52">
        <v>1.5</v>
      </c>
      <c r="J39" s="53">
        <v>2.0</v>
      </c>
      <c r="K39" s="54">
        <v>3.95</v>
      </c>
      <c r="L39" s="55">
        <f>IF(I39&lt;1.79,SUM(I39:J39), SUM('P104'!$Q39:$S39))</f>
        <v>3.5</v>
      </c>
      <c r="M39" s="52">
        <v>0.0</v>
      </c>
      <c r="N39" s="53">
        <v>0.0</v>
      </c>
      <c r="O39" s="54">
        <v>0.0</v>
      </c>
      <c r="P39" s="55">
        <f>IF(M39&lt;1.79,SUM(M39:N39), SUM('P104'!$Q39:$S39))</f>
        <v>0</v>
      </c>
      <c r="Q39" s="52">
        <v>0.0</v>
      </c>
      <c r="R39" s="53">
        <v>0.0</v>
      </c>
      <c r="S39" s="54">
        <v>0.0</v>
      </c>
      <c r="T39" s="55">
        <f>IF(Q39&lt;1.79,SUM(Q39:R39), SUM('P104'!$Q39:$S39))</f>
        <v>0</v>
      </c>
      <c r="U39" s="56">
        <f>('P104'!$L39+'P104'!$P39+'P104'!$T39)*'P104'!$F39</f>
        <v>1.75</v>
      </c>
      <c r="V39" s="57">
        <v>3.95</v>
      </c>
      <c r="W39" s="57">
        <v>7.7</v>
      </c>
      <c r="X39" s="58">
        <f>SUM('P104'!$V39:$W39)*'P104'!$G39</f>
        <v>5.825</v>
      </c>
      <c r="Y39" s="216">
        <v>0.5</v>
      </c>
      <c r="Z39" s="216">
        <v>0.0</v>
      </c>
      <c r="AA39" s="216">
        <v>0.0</v>
      </c>
      <c r="AB39" s="60" t="str">
        <f>IF(SUM('P104'!$Y39:$AA39)&gt;5.9,"SI","NO")</f>
        <v>NO</v>
      </c>
      <c r="AC39" s="61">
        <f>SUM('P104'!$Y39:$AA39)</f>
        <v>0.5</v>
      </c>
      <c r="AD39" s="62">
        <v>1.5</v>
      </c>
      <c r="AE39" s="62">
        <v>5.0</v>
      </c>
      <c r="AF39" s="63" t="str">
        <f>IF('P104'!$AG39&gt;5.9,"SI","NO")</f>
        <v>SI</v>
      </c>
      <c r="AG39" s="64">
        <f>SUM('P104'!$AD39:$AE39)</f>
        <v>6.5</v>
      </c>
      <c r="AH39" s="65">
        <v>0.0</v>
      </c>
      <c r="AI39" s="65">
        <v>0.0</v>
      </c>
      <c r="AJ39" s="66">
        <f>AVERAGE('P104'!$AH39:$AI39)*'P104'!$H39</f>
        <v>0</v>
      </c>
      <c r="AK39" s="142">
        <v>1.0</v>
      </c>
      <c r="AL39" s="143">
        <v>0.0</v>
      </c>
      <c r="AM39" s="144">
        <v>0.0</v>
      </c>
      <c r="AN39" s="130">
        <f>(1*('P104'!$AL39+'P104'!$AM39))*'P104'!$AK39</f>
        <v>0</v>
      </c>
      <c r="AO39" s="70">
        <v>0.0</v>
      </c>
      <c r="AP39" s="71">
        <f>SUM('P104'!$U39)</f>
        <v>1.75</v>
      </c>
      <c r="AQ39" s="134">
        <f>SUM(AN39,AJ39,AG39,AC39,X39,('P104'!$AO39)*H39)</f>
        <v>12.825</v>
      </c>
      <c r="AR39" s="217">
        <f>'P104'!$AP39+'P104'!$AQ39</f>
        <v>14.575</v>
      </c>
    </row>
    <row r="40" ht="14.25" customHeight="1">
      <c r="A40" s="137" t="s">
        <v>421</v>
      </c>
      <c r="B40" s="136">
        <v>2.02408209E8</v>
      </c>
      <c r="C40" s="214" t="s">
        <v>422</v>
      </c>
      <c r="D40" s="215">
        <v>6.0</v>
      </c>
      <c r="E40" s="49"/>
      <c r="F40" s="139">
        <v>1.066738503</v>
      </c>
      <c r="G40" s="139">
        <v>1.081560103</v>
      </c>
      <c r="H40" s="139">
        <v>0.5</v>
      </c>
      <c r="I40" s="52">
        <v>2.25</v>
      </c>
      <c r="J40" s="53">
        <v>2.0</v>
      </c>
      <c r="K40" s="54">
        <v>4.45</v>
      </c>
      <c r="L40" s="55">
        <f>IF(I40&lt;1.79,SUM(I40:J40), SUM('P104'!$Q40:$S40))</f>
        <v>8.1</v>
      </c>
      <c r="M40" s="52">
        <v>3.0</v>
      </c>
      <c r="N40" s="53">
        <v>2.0</v>
      </c>
      <c r="O40" s="54">
        <v>3.1</v>
      </c>
      <c r="P40" s="55">
        <f>IF(M40&lt;1.79,SUM(M40:N40), SUM('P104'!$Q40:$S40))</f>
        <v>8.1</v>
      </c>
      <c r="Q40" s="52">
        <v>3.0</v>
      </c>
      <c r="R40" s="53">
        <v>2.0</v>
      </c>
      <c r="S40" s="54">
        <v>3.1</v>
      </c>
      <c r="T40" s="55">
        <f>IF(Q40&lt;1.79,SUM(Q40:R40), SUM('P104'!$Q40:$S40))</f>
        <v>8.1</v>
      </c>
      <c r="U40" s="56">
        <f>('P104'!$L40+'P104'!$P40+'P104'!$T40)*'P104'!$F40</f>
        <v>25.92174562</v>
      </c>
      <c r="V40" s="57">
        <v>3.95</v>
      </c>
      <c r="W40" s="57">
        <v>6.5</v>
      </c>
      <c r="X40" s="58">
        <f>SUM('P104'!$V40:$W40)*'P104'!$G40</f>
        <v>11.30230308</v>
      </c>
      <c r="Y40" s="216">
        <v>2.0</v>
      </c>
      <c r="Z40" s="216">
        <v>0.0</v>
      </c>
      <c r="AA40" s="216">
        <v>5.0</v>
      </c>
      <c r="AB40" s="60" t="str">
        <f>IF(SUM('P104'!$Y40:$AA40)&gt;5.9,"SI","NO")</f>
        <v>SI</v>
      </c>
      <c r="AC40" s="61">
        <f>SUM('P104'!$Y40:$AA40)</f>
        <v>7</v>
      </c>
      <c r="AD40" s="62">
        <v>2.0</v>
      </c>
      <c r="AE40" s="62">
        <v>3.0</v>
      </c>
      <c r="AF40" s="63" t="str">
        <f>IF('P104'!$AG40&gt;5.9,"SI","NO")</f>
        <v>NO</v>
      </c>
      <c r="AG40" s="64">
        <f>SUM('P104'!$AD40:$AE40)</f>
        <v>5</v>
      </c>
      <c r="AH40" s="141">
        <f>IF('P104'!$AF40="NO",0," ")</f>
        <v>0</v>
      </c>
      <c r="AI40" s="141">
        <f>IF('P104'!$AF40="NO",0," ")</f>
        <v>0</v>
      </c>
      <c r="AJ40" s="66">
        <f>AVERAGE('P104'!$AH40:$AI40)*'P104'!$H40</f>
        <v>0</v>
      </c>
      <c r="AK40" s="142">
        <v>0.0</v>
      </c>
      <c r="AL40" s="143">
        <v>0.0</v>
      </c>
      <c r="AM40" s="144">
        <v>0.0</v>
      </c>
      <c r="AN40" s="130">
        <f>(1*('P104'!$AL40+'P104'!$AM40))*'P104'!$AK40</f>
        <v>0</v>
      </c>
      <c r="AO40" s="70">
        <v>7.0</v>
      </c>
      <c r="AP40" s="71">
        <f>SUM('P104'!$U40)</f>
        <v>25.92174562</v>
      </c>
      <c r="AQ40" s="134">
        <f>SUM(AN40,AJ40,AG40,AC40,X40,('P104'!$AO40)*H40)</f>
        <v>26.80230308</v>
      </c>
      <c r="AR40" s="217">
        <f>'P104'!$AP40+'P104'!$AQ40</f>
        <v>52.7240487</v>
      </c>
    </row>
    <row r="41" ht="14.25" customHeight="1">
      <c r="A41" s="145" t="s">
        <v>423</v>
      </c>
      <c r="B41" s="146">
        <v>2.02411344E8</v>
      </c>
      <c r="C41" s="218" t="s">
        <v>424</v>
      </c>
      <c r="D41" s="219">
        <v>5.0</v>
      </c>
      <c r="E41" s="49"/>
      <c r="F41" s="139">
        <v>1.038363642</v>
      </c>
      <c r="G41" s="139">
        <v>1.008854083</v>
      </c>
      <c r="H41" s="139">
        <v>1.01882859</v>
      </c>
      <c r="I41" s="52">
        <v>3.0</v>
      </c>
      <c r="J41" s="53">
        <v>2.0</v>
      </c>
      <c r="K41" s="54">
        <v>4.65</v>
      </c>
      <c r="L41" s="55">
        <f>IF(I41&lt;1.79,SUM(I41:J41), SUM('P104'!$Q41:$S41))</f>
        <v>8.45</v>
      </c>
      <c r="M41" s="52">
        <v>2.25</v>
      </c>
      <c r="N41" s="53">
        <v>2.0</v>
      </c>
      <c r="O41" s="54">
        <v>4.2</v>
      </c>
      <c r="P41" s="55">
        <f>IF(M41&lt;1.79,SUM(M41:N41), SUM('P104'!$Q41:$S41))</f>
        <v>8.45</v>
      </c>
      <c r="Q41" s="52">
        <v>2.25</v>
      </c>
      <c r="R41" s="53">
        <v>2.0</v>
      </c>
      <c r="S41" s="54">
        <v>4.2</v>
      </c>
      <c r="T41" s="55">
        <f>IF(Q41&lt;1.79,SUM(Q41:R41), SUM('P104'!$Q41:$S41))</f>
        <v>8.45</v>
      </c>
      <c r="U41" s="56">
        <f>('P104'!$L41+'P104'!$P41+'P104'!$T41)*'P104'!$F41</f>
        <v>26.32251832</v>
      </c>
      <c r="V41" s="57">
        <v>3.8</v>
      </c>
      <c r="W41" s="57">
        <v>5.8</v>
      </c>
      <c r="X41" s="58">
        <f>SUM('P104'!$V41:$W41)*'P104'!$G41</f>
        <v>9.684999197</v>
      </c>
      <c r="Y41" s="216">
        <v>1.5</v>
      </c>
      <c r="Z41" s="216">
        <v>1.5</v>
      </c>
      <c r="AA41" s="216">
        <v>3.75</v>
      </c>
      <c r="AB41" s="60" t="str">
        <f>IF(SUM('P104'!$Y41:$AA41)&gt;5.9,"SI","NO")</f>
        <v>SI</v>
      </c>
      <c r="AC41" s="61">
        <f>SUM('P104'!$Y41:$AA41)</f>
        <v>6.75</v>
      </c>
      <c r="AD41" s="62">
        <v>0.5</v>
      </c>
      <c r="AE41" s="62">
        <v>6.0</v>
      </c>
      <c r="AF41" s="63" t="str">
        <f>IF('P104'!$AG41&gt;5.9,"SI","NO")</f>
        <v>SI</v>
      </c>
      <c r="AG41" s="64">
        <f>SUM('P104'!$AD41:$AE41)</f>
        <v>6.5</v>
      </c>
      <c r="AH41" s="65">
        <v>3.6</v>
      </c>
      <c r="AI41" s="65">
        <v>1.5</v>
      </c>
      <c r="AJ41" s="66">
        <f>AVERAGE('P104'!$AH41:$AI41)*'P104'!$H41</f>
        <v>2.598012905</v>
      </c>
      <c r="AK41" s="142">
        <v>1.0</v>
      </c>
      <c r="AL41" s="143">
        <v>4.0</v>
      </c>
      <c r="AM41" s="144">
        <v>5.0</v>
      </c>
      <c r="AN41" s="130">
        <f>(1*('P104'!$AL41+'P104'!$AM41))*'P104'!$AK41</f>
        <v>9</v>
      </c>
      <c r="AO41" s="70">
        <v>7.25</v>
      </c>
      <c r="AP41" s="71">
        <f>SUM('P104'!$U41)</f>
        <v>26.32251832</v>
      </c>
      <c r="AQ41" s="134">
        <f>SUM(AN41,AJ41,AG41,AC41,X41,('P104'!$AO41)*H41)</f>
        <v>41.91951938</v>
      </c>
      <c r="AR41" s="217">
        <f>'P104'!$AP41+'P104'!$AQ41</f>
        <v>68.2420377</v>
      </c>
    </row>
    <row r="42" ht="14.25" customHeight="1">
      <c r="A42" s="137" t="s">
        <v>425</v>
      </c>
      <c r="B42" s="136">
        <v>2.02415774E8</v>
      </c>
      <c r="C42" s="214" t="s">
        <v>426</v>
      </c>
      <c r="D42" s="215">
        <v>6.0</v>
      </c>
      <c r="E42" s="49"/>
      <c r="F42" s="139">
        <v>0.982607369</v>
      </c>
      <c r="G42" s="139">
        <v>0.93803901</v>
      </c>
      <c r="H42" s="139">
        <v>0.5</v>
      </c>
      <c r="I42" s="52">
        <v>2.25</v>
      </c>
      <c r="J42" s="53">
        <v>2.0</v>
      </c>
      <c r="K42" s="54">
        <v>4.45</v>
      </c>
      <c r="L42" s="55">
        <f>IF(I42&lt;1.79,SUM(I42:J42), SUM('P104'!$Q42:$S42))</f>
        <v>7.35</v>
      </c>
      <c r="M42" s="52">
        <v>2.25</v>
      </c>
      <c r="N42" s="53">
        <v>2.0</v>
      </c>
      <c r="O42" s="54">
        <v>3.1</v>
      </c>
      <c r="P42" s="55">
        <f>IF(M42&lt;1.79,SUM(M42:N42), SUM('P104'!$Q42:$S42))</f>
        <v>7.35</v>
      </c>
      <c r="Q42" s="52">
        <v>2.25</v>
      </c>
      <c r="R42" s="53">
        <v>2.0</v>
      </c>
      <c r="S42" s="54">
        <v>3.1</v>
      </c>
      <c r="T42" s="55">
        <f>IF(Q42&lt;1.79,SUM(Q42:R42), SUM('P104'!$Q42:$S42))</f>
        <v>7.35</v>
      </c>
      <c r="U42" s="56">
        <f>('P104'!$L42+'P104'!$P42+'P104'!$T42)*'P104'!$F42</f>
        <v>21.66649249</v>
      </c>
      <c r="V42" s="57">
        <v>3.95</v>
      </c>
      <c r="W42" s="57">
        <v>6.5</v>
      </c>
      <c r="X42" s="58">
        <f>SUM('P104'!$V42:$W42)*'P104'!$G42</f>
        <v>9.802507655</v>
      </c>
      <c r="Y42" s="216">
        <v>0.5</v>
      </c>
      <c r="Z42" s="216">
        <v>3.0</v>
      </c>
      <c r="AA42" s="216">
        <v>0.0</v>
      </c>
      <c r="AB42" s="60" t="str">
        <f>IF(SUM('P104'!$Y42:$AA42)&gt;5.9,"SI","NO")</f>
        <v>NO</v>
      </c>
      <c r="AC42" s="61">
        <f>SUM('P104'!$Y42:$AA42)</f>
        <v>3.5</v>
      </c>
      <c r="AD42" s="62">
        <v>2.0</v>
      </c>
      <c r="AE42" s="62">
        <v>3.0</v>
      </c>
      <c r="AF42" s="63" t="str">
        <f>IF('P104'!$AG42&gt;5.9,"SI","NO")</f>
        <v>NO</v>
      </c>
      <c r="AG42" s="64">
        <f>SUM('P104'!$AD42:$AE42)</f>
        <v>5</v>
      </c>
      <c r="AH42" s="141">
        <f>IF('P104'!$AF42="NO",0," ")</f>
        <v>0</v>
      </c>
      <c r="AI42" s="141">
        <f>IF('P104'!$AF42="NO",0," ")</f>
        <v>0</v>
      </c>
      <c r="AJ42" s="66">
        <f>AVERAGE('P104'!$AH42:$AI42)*'P104'!$H42</f>
        <v>0</v>
      </c>
      <c r="AK42" s="142">
        <v>0.0</v>
      </c>
      <c r="AL42" s="143">
        <v>0.0</v>
      </c>
      <c r="AM42" s="144">
        <v>0.0</v>
      </c>
      <c r="AN42" s="130">
        <f>(1*('P104'!$AL42+'P104'!$AM42))*'P104'!$AK42</f>
        <v>0</v>
      </c>
      <c r="AO42" s="70">
        <v>7.0</v>
      </c>
      <c r="AP42" s="71">
        <f>SUM('P104'!$U42)</f>
        <v>21.66649249</v>
      </c>
      <c r="AQ42" s="134">
        <f>SUM(AN42,AJ42,AG42,AC42,X42,('P104'!$AO42)*H42)</f>
        <v>21.80250765</v>
      </c>
      <c r="AR42" s="217">
        <f>'P104'!$AP42+'P104'!$AQ42</f>
        <v>43.46900014</v>
      </c>
    </row>
    <row r="43" ht="14.25" customHeight="1">
      <c r="A43" s="145" t="s">
        <v>427</v>
      </c>
      <c r="B43" s="146">
        <v>2.02508065E8</v>
      </c>
      <c r="C43" s="218" t="s">
        <v>428</v>
      </c>
      <c r="D43" s="219">
        <v>8.0</v>
      </c>
      <c r="E43" s="49"/>
      <c r="F43" s="139">
        <v>1.032795559</v>
      </c>
      <c r="G43" s="139">
        <v>1.031753909</v>
      </c>
      <c r="H43" s="139">
        <v>1.014599312</v>
      </c>
      <c r="I43" s="52">
        <v>3.0</v>
      </c>
      <c r="J43" s="53">
        <v>2.0</v>
      </c>
      <c r="K43" s="54">
        <v>2.0</v>
      </c>
      <c r="L43" s="55">
        <f>IF(I43&lt;1.79,SUM(I43:J43), SUM('P104'!$Q43:$S43))</f>
        <v>7.35</v>
      </c>
      <c r="M43" s="52">
        <v>2.0</v>
      </c>
      <c r="N43" s="53">
        <v>2.0</v>
      </c>
      <c r="O43" s="54">
        <v>3.35</v>
      </c>
      <c r="P43" s="55">
        <f>IF(M43&lt;1.79,SUM(M43:N43), SUM('P104'!$Q43:$S43))</f>
        <v>7.35</v>
      </c>
      <c r="Q43" s="52">
        <v>2.0</v>
      </c>
      <c r="R43" s="53">
        <v>2.0</v>
      </c>
      <c r="S43" s="54">
        <v>3.35</v>
      </c>
      <c r="T43" s="55">
        <f>IF(Q43&lt;1.79,SUM(Q43:R43), SUM('P104'!$Q43:$S43))</f>
        <v>7.35</v>
      </c>
      <c r="U43" s="56">
        <f>('P104'!$L43+'P104'!$P43+'P104'!$T43)*'P104'!$F43</f>
        <v>22.77314208</v>
      </c>
      <c r="V43" s="57">
        <v>3.8</v>
      </c>
      <c r="W43" s="57">
        <v>6.9</v>
      </c>
      <c r="X43" s="58">
        <f>SUM('P104'!$V43:$W43)*'P104'!$G43</f>
        <v>11.03976683</v>
      </c>
      <c r="Y43" s="216">
        <v>0.5</v>
      </c>
      <c r="Z43" s="216">
        <v>1.5</v>
      </c>
      <c r="AA43" s="216">
        <v>3.75</v>
      </c>
      <c r="AB43" s="60" t="str">
        <f>IF(SUM('P104'!$Y43:$AA43)&gt;5.9,"SI","NO")</f>
        <v>NO</v>
      </c>
      <c r="AC43" s="61">
        <f>SUM('P104'!$Y43:$AA43)</f>
        <v>5.75</v>
      </c>
      <c r="AD43" s="62">
        <v>2.0</v>
      </c>
      <c r="AE43" s="62">
        <v>4.0</v>
      </c>
      <c r="AF43" s="63" t="str">
        <f>IF('P104'!$AG43&gt;5.9,"SI","NO")</f>
        <v>SI</v>
      </c>
      <c r="AG43" s="64">
        <f>SUM('P104'!$AD43:$AE43)</f>
        <v>6</v>
      </c>
      <c r="AH43" s="65">
        <v>3.5</v>
      </c>
      <c r="AI43" s="65">
        <v>4.0</v>
      </c>
      <c r="AJ43" s="66">
        <f>AVERAGE('P104'!$AH43:$AI43)*'P104'!$H43</f>
        <v>3.80474742</v>
      </c>
      <c r="AK43" s="142">
        <v>1.0</v>
      </c>
      <c r="AL43" s="143">
        <v>0.0</v>
      </c>
      <c r="AM43" s="144">
        <v>0.0</v>
      </c>
      <c r="AN43" s="130">
        <f>(1*('P104'!$AL43+'P104'!$AM43))*'P104'!$AK43</f>
        <v>0</v>
      </c>
      <c r="AO43" s="70">
        <v>6.25</v>
      </c>
      <c r="AP43" s="71">
        <f>SUM('P104'!$U43)</f>
        <v>22.77314208</v>
      </c>
      <c r="AQ43" s="134">
        <f>SUM(AN43,AJ43,AG43,AC43,X43,('P104'!$AO43)*H43)</f>
        <v>32.93575995</v>
      </c>
      <c r="AR43" s="217">
        <f>'P104'!$AP43+'P104'!$AQ43</f>
        <v>55.70890202</v>
      </c>
    </row>
    <row r="44" ht="14.25" customHeight="1">
      <c r="A44" s="137" t="s">
        <v>429</v>
      </c>
      <c r="B44" s="136">
        <v>2.02511176E8</v>
      </c>
      <c r="C44" s="214" t="s">
        <v>430</v>
      </c>
      <c r="D44" s="215">
        <v>4.0</v>
      </c>
      <c r="E44" s="49"/>
      <c r="F44" s="139">
        <v>0.904534034</v>
      </c>
      <c r="G44" s="139">
        <v>0.947169038</v>
      </c>
      <c r="H44" s="139">
        <v>0.850390406</v>
      </c>
      <c r="I44" s="52">
        <v>2.25</v>
      </c>
      <c r="J44" s="53">
        <v>2.0</v>
      </c>
      <c r="K44" s="54">
        <v>3.95</v>
      </c>
      <c r="L44" s="55">
        <f>IF(I44&lt;1.79,SUM(I44:J44), SUM('P104'!$Q44:$S44))</f>
        <v>5.7</v>
      </c>
      <c r="M44" s="52">
        <v>0.0</v>
      </c>
      <c r="N44" s="53">
        <v>2.0</v>
      </c>
      <c r="O44" s="54">
        <v>3.7</v>
      </c>
      <c r="P44" s="55">
        <f>IF(M44&lt;1.79,SUM(M44:N44), SUM('P104'!$Q44:$S44))</f>
        <v>2</v>
      </c>
      <c r="Q44" s="52">
        <v>0.0</v>
      </c>
      <c r="R44" s="53">
        <v>2.0</v>
      </c>
      <c r="S44" s="54">
        <v>3.7</v>
      </c>
      <c r="T44" s="55">
        <f>IF(Q44&lt;1.79,SUM(Q44:R44), SUM('P104'!$Q44:$S44))</f>
        <v>2</v>
      </c>
      <c r="U44" s="56">
        <f>('P104'!$L44+'P104'!$P44+'P104'!$T44)*'P104'!$F44</f>
        <v>8.77398013</v>
      </c>
      <c r="V44" s="57">
        <v>3.7</v>
      </c>
      <c r="W44" s="57">
        <v>6.6</v>
      </c>
      <c r="X44" s="58">
        <f>SUM('P104'!$V44:$W44)*'P104'!$G44</f>
        <v>9.755841091</v>
      </c>
      <c r="Y44" s="216">
        <v>1.5</v>
      </c>
      <c r="Z44" s="220">
        <v>0.0</v>
      </c>
      <c r="AA44" s="216">
        <v>1.25</v>
      </c>
      <c r="AB44" s="60" t="str">
        <f>IF(SUM('P104'!$Y44:$AA44)&gt;5.9,"SI","NO")</f>
        <v>NO</v>
      </c>
      <c r="AC44" s="61">
        <f>SUM('P104'!$Y44:$AA44)</f>
        <v>2.75</v>
      </c>
      <c r="AD44" s="62">
        <v>0.25</v>
      </c>
      <c r="AE44" s="62">
        <v>6.0</v>
      </c>
      <c r="AF44" s="63" t="str">
        <f>IF('P104'!$AG44&gt;5.9,"SI","NO")</f>
        <v>SI</v>
      </c>
      <c r="AG44" s="64">
        <f>SUM('P104'!$AD44:$AE44)</f>
        <v>6.25</v>
      </c>
      <c r="AH44" s="65">
        <v>4.5</v>
      </c>
      <c r="AI44" s="65">
        <v>4.5</v>
      </c>
      <c r="AJ44" s="66">
        <f>AVERAGE('P104'!$AH44:$AI44)*'P104'!$H44</f>
        <v>3.826756827</v>
      </c>
      <c r="AK44" s="142">
        <v>1.0</v>
      </c>
      <c r="AL44" s="143">
        <v>0.0</v>
      </c>
      <c r="AM44" s="144">
        <v>0.0</v>
      </c>
      <c r="AN44" s="130">
        <f>(1*('P104'!$AL44+'P104'!$AM44))*'P104'!$AK44</f>
        <v>0</v>
      </c>
      <c r="AO44" s="70">
        <v>8.0</v>
      </c>
      <c r="AP44" s="71">
        <f>SUM('P104'!$U44)</f>
        <v>8.77398013</v>
      </c>
      <c r="AQ44" s="134">
        <f>SUM(AN44,AJ44,AG44,AC44,X44,('P104'!$AO44)*H44)</f>
        <v>29.38572117</v>
      </c>
      <c r="AR44" s="217">
        <f>'P104'!$AP44+'P104'!$AQ44</f>
        <v>38.1597013</v>
      </c>
    </row>
    <row r="45" ht="14.25" customHeight="1">
      <c r="A45" s="145" t="s">
        <v>431</v>
      </c>
      <c r="B45" s="146">
        <v>2.02309514E8</v>
      </c>
      <c r="C45" s="218" t="s">
        <v>432</v>
      </c>
      <c r="D45" s="219">
        <v>10.0</v>
      </c>
      <c r="E45" s="49"/>
      <c r="F45" s="139">
        <v>1.097406522</v>
      </c>
      <c r="G45" s="139">
        <v>1.114172029</v>
      </c>
      <c r="H45" s="139">
        <v>1.133455876</v>
      </c>
      <c r="I45" s="52">
        <v>2.25</v>
      </c>
      <c r="J45" s="53">
        <v>2.0</v>
      </c>
      <c r="K45" s="54">
        <v>4.05</v>
      </c>
      <c r="L45" s="55">
        <f>IF(I45&lt;1.79,SUM(I45:J45), SUM('P104'!$Q45:$S45))</f>
        <v>9.05</v>
      </c>
      <c r="M45" s="52">
        <v>3.0</v>
      </c>
      <c r="N45" s="53">
        <v>2.0</v>
      </c>
      <c r="O45" s="54">
        <v>4.05</v>
      </c>
      <c r="P45" s="55">
        <f>IF(M45&lt;1.79,SUM(M45:N45), SUM('P104'!$Q45:$S45))</f>
        <v>9.05</v>
      </c>
      <c r="Q45" s="52">
        <v>3.0</v>
      </c>
      <c r="R45" s="53">
        <v>2.0</v>
      </c>
      <c r="S45" s="54">
        <v>4.05</v>
      </c>
      <c r="T45" s="55">
        <f>IF(Q45&lt;1.79,SUM(Q45:R45), SUM('P104'!$Q45:$S45))</f>
        <v>9.05</v>
      </c>
      <c r="U45" s="56">
        <f>('P104'!$L45+'P104'!$P45+'P104'!$T45)*'P104'!$F45</f>
        <v>29.79458707</v>
      </c>
      <c r="V45" s="57">
        <v>3.8</v>
      </c>
      <c r="W45" s="57">
        <v>6.2</v>
      </c>
      <c r="X45" s="58">
        <f>SUM('P104'!$V45:$W45)*'P104'!$G45</f>
        <v>11.14172029</v>
      </c>
      <c r="Y45" s="216">
        <v>2.0</v>
      </c>
      <c r="Z45" s="216">
        <v>1.5</v>
      </c>
      <c r="AA45" s="216">
        <v>2.5</v>
      </c>
      <c r="AB45" s="60" t="str">
        <f>IF(SUM('P104'!$Y45:$AA45)&gt;5.9,"SI","NO")</f>
        <v>SI</v>
      </c>
      <c r="AC45" s="61">
        <f>SUM('P104'!$Y45:$AA45)</f>
        <v>6</v>
      </c>
      <c r="AD45" s="62">
        <v>2.0</v>
      </c>
      <c r="AE45" s="62">
        <v>3.0</v>
      </c>
      <c r="AF45" s="63" t="str">
        <f>IF('P104'!$AG45&gt;5.9,"SI","NO")</f>
        <v>NO</v>
      </c>
      <c r="AG45" s="64">
        <f>SUM('P104'!$AD45:$AE45)</f>
        <v>5</v>
      </c>
      <c r="AH45" s="141">
        <f>IF('P104'!$AF45="NO",0," ")</f>
        <v>0</v>
      </c>
      <c r="AI45" s="141">
        <f>IF('P104'!$AF45="NO",0," ")</f>
        <v>0</v>
      </c>
      <c r="AJ45" s="66">
        <f>AVERAGE('P104'!$AH45:$AI45)*'P104'!$H45</f>
        <v>0</v>
      </c>
      <c r="AK45" s="142">
        <v>0.0</v>
      </c>
      <c r="AL45" s="143">
        <v>0.0</v>
      </c>
      <c r="AM45" s="144">
        <v>0.0</v>
      </c>
      <c r="AN45" s="130">
        <f>(1*('P104'!$AL45+'P104'!$AM45))*'P104'!$AK45</f>
        <v>0</v>
      </c>
      <c r="AO45" s="70">
        <v>5.0</v>
      </c>
      <c r="AP45" s="71">
        <f>SUM('P104'!$U45)</f>
        <v>29.79458707</v>
      </c>
      <c r="AQ45" s="134">
        <f>SUM(AN45,AJ45,AG45,AC45,X45,('P104'!$AO45)*H45)</f>
        <v>27.80899967</v>
      </c>
      <c r="AR45" s="217">
        <f>'P104'!$AP45+'P104'!$AQ45</f>
        <v>57.60358674</v>
      </c>
    </row>
    <row r="46" ht="14.25" customHeight="1">
      <c r="A46" s="137" t="s">
        <v>433</v>
      </c>
      <c r="B46" s="136">
        <v>2.02402137E8</v>
      </c>
      <c r="C46" s="214" t="s">
        <v>434</v>
      </c>
      <c r="D46" s="215">
        <v>1.0</v>
      </c>
      <c r="E46" s="83"/>
      <c r="F46" s="139">
        <v>0.5</v>
      </c>
      <c r="G46" s="139">
        <v>0.5</v>
      </c>
      <c r="H46" s="139">
        <v>0.5</v>
      </c>
      <c r="I46" s="52">
        <v>0.0</v>
      </c>
      <c r="J46" s="53">
        <v>2.0</v>
      </c>
      <c r="K46" s="54">
        <v>4.6</v>
      </c>
      <c r="L46" s="55">
        <f>IF(I46&lt;1.79,SUM(I46:J46), SUM('P104'!$Q46:$S46))</f>
        <v>2</v>
      </c>
      <c r="M46" s="52">
        <v>0.75</v>
      </c>
      <c r="N46" s="53">
        <v>2.0</v>
      </c>
      <c r="O46" s="54">
        <v>4.1</v>
      </c>
      <c r="P46" s="55">
        <f>IF(M46&lt;1.79,SUM(M46:N46), SUM('P104'!$Q46:$S46))</f>
        <v>2.75</v>
      </c>
      <c r="Q46" s="52">
        <v>0.75</v>
      </c>
      <c r="R46" s="53">
        <v>2.0</v>
      </c>
      <c r="S46" s="54">
        <v>4.1</v>
      </c>
      <c r="T46" s="55">
        <f>IF(Q46&lt;1.79,SUM(Q46:R46), SUM('P104'!$Q46:$S46))</f>
        <v>2.75</v>
      </c>
      <c r="U46" s="56">
        <f>('P104'!$L46+'P104'!$P46+'P104'!$T46)*'P104'!$F46</f>
        <v>3.75</v>
      </c>
      <c r="V46" s="57">
        <v>2.85</v>
      </c>
      <c r="W46" s="57">
        <v>5.4</v>
      </c>
      <c r="X46" s="58">
        <f>SUM('P104'!$V46:$W46)*'P104'!$G46</f>
        <v>4.125</v>
      </c>
      <c r="Y46" s="216">
        <v>2.0</v>
      </c>
      <c r="Z46" s="216">
        <v>0.0</v>
      </c>
      <c r="AA46" s="216">
        <v>0.0</v>
      </c>
      <c r="AB46" s="60" t="str">
        <f>IF(SUM('P104'!$Y46:$AA46)&gt;5.9,"SI","NO")</f>
        <v>NO</v>
      </c>
      <c r="AC46" s="61">
        <f>SUM('P104'!$Y46:$AA46)</f>
        <v>2</v>
      </c>
      <c r="AD46" s="62">
        <v>2.0</v>
      </c>
      <c r="AE46" s="62">
        <v>6.0</v>
      </c>
      <c r="AF46" s="63" t="str">
        <f>IF('P104'!$AG46&gt;5.9,"SI","NO")</f>
        <v>SI</v>
      </c>
      <c r="AG46" s="64">
        <f>SUM('P104'!$AD46:$AE46)</f>
        <v>8</v>
      </c>
      <c r="AH46" s="65">
        <v>4.5</v>
      </c>
      <c r="AI46" s="65">
        <v>5.0</v>
      </c>
      <c r="AJ46" s="66">
        <f>AVERAGE('P104'!$AH46:$AI46)*'P104'!$H46</f>
        <v>2.375</v>
      </c>
      <c r="AK46" s="142">
        <v>1.0</v>
      </c>
      <c r="AL46" s="143">
        <v>0.0</v>
      </c>
      <c r="AM46" s="144">
        <v>0.0</v>
      </c>
      <c r="AN46" s="130">
        <f>(1*('P104'!$AL46+'P104'!$AM46))*'P104'!$AK46</f>
        <v>0</v>
      </c>
      <c r="AO46" s="70">
        <v>7.25</v>
      </c>
      <c r="AP46" s="71">
        <f>SUM('P104'!$U46)</f>
        <v>3.75</v>
      </c>
      <c r="AQ46" s="134">
        <f>SUM(AN46,AJ46,AG46,AC46,X46,('P104'!$AO46)*H46)</f>
        <v>20.125</v>
      </c>
      <c r="AR46" s="217">
        <f>'P104'!$AP46+'P104'!$AQ46</f>
        <v>23.875</v>
      </c>
    </row>
    <row r="47" ht="14.25" customHeight="1">
      <c r="A47" s="145" t="s">
        <v>435</v>
      </c>
      <c r="B47" s="146">
        <v>2.02311452E8</v>
      </c>
      <c r="C47" s="218" t="s">
        <v>436</v>
      </c>
      <c r="D47" s="219">
        <v>8.0</v>
      </c>
      <c r="E47" s="83"/>
      <c r="F47" s="139">
        <v>0.896717661</v>
      </c>
      <c r="G47" s="139">
        <v>0.89802651</v>
      </c>
      <c r="H47" s="139">
        <v>0.930598233</v>
      </c>
      <c r="I47" s="52">
        <v>2.25</v>
      </c>
      <c r="J47" s="53">
        <v>2.0</v>
      </c>
      <c r="K47" s="54">
        <v>2.0</v>
      </c>
      <c r="L47" s="55">
        <f>IF(I47&lt;1.79,SUM(I47:J47), SUM('P104'!$Q47:$S47))</f>
        <v>4.25</v>
      </c>
      <c r="M47" s="52">
        <v>2.25</v>
      </c>
      <c r="N47" s="53">
        <v>2.0</v>
      </c>
      <c r="O47" s="54">
        <v>0.0</v>
      </c>
      <c r="P47" s="55">
        <f>IF(M47&lt;1.79,SUM(M47:N47), SUM('P104'!$Q47:$S47))</f>
        <v>4.25</v>
      </c>
      <c r="Q47" s="52">
        <v>2.25</v>
      </c>
      <c r="R47" s="53">
        <v>2.0</v>
      </c>
      <c r="S47" s="54">
        <v>0.0</v>
      </c>
      <c r="T47" s="55">
        <f>IF(Q47&lt;1.79,SUM(Q47:R47), SUM('P104'!$Q47:$S47))</f>
        <v>4.25</v>
      </c>
      <c r="U47" s="56">
        <f>('P104'!$L47+'P104'!$P47+'P104'!$T47)*'P104'!$F47</f>
        <v>11.43315018</v>
      </c>
      <c r="V47" s="57">
        <v>3.8</v>
      </c>
      <c r="W47" s="57">
        <v>6.9</v>
      </c>
      <c r="X47" s="58">
        <f>SUM('P104'!$V47:$W47)*'P104'!$G47</f>
        <v>9.608883657</v>
      </c>
      <c r="Y47" s="216">
        <v>2.0</v>
      </c>
      <c r="Z47" s="216">
        <v>1.5</v>
      </c>
      <c r="AA47" s="216">
        <v>5.0</v>
      </c>
      <c r="AB47" s="60" t="str">
        <f>IF(SUM('P104'!$Y47:$AA47)&gt;5.9,"SI","NO")</f>
        <v>SI</v>
      </c>
      <c r="AC47" s="61">
        <f>SUM('P104'!$Y47:$AA47)</f>
        <v>8.5</v>
      </c>
      <c r="AD47" s="62">
        <v>2.0</v>
      </c>
      <c r="AE47" s="62">
        <v>4.0</v>
      </c>
      <c r="AF47" s="63" t="str">
        <f>IF('P104'!$AG47&gt;5.9,"SI","NO")</f>
        <v>SI</v>
      </c>
      <c r="AG47" s="64">
        <f>SUM('P104'!$AD47:$AE47)</f>
        <v>6</v>
      </c>
      <c r="AH47" s="65">
        <v>3.5</v>
      </c>
      <c r="AI47" s="65">
        <v>4.0</v>
      </c>
      <c r="AJ47" s="66">
        <f>AVERAGE('P104'!$AH47:$AI47)*'P104'!$H47</f>
        <v>3.489743374</v>
      </c>
      <c r="AK47" s="142">
        <v>1.0</v>
      </c>
      <c r="AL47" s="143">
        <v>4.0</v>
      </c>
      <c r="AM47" s="144">
        <v>2.0</v>
      </c>
      <c r="AN47" s="130">
        <f>(1*('P104'!$AL47+'P104'!$AM47))*'P104'!$AK47</f>
        <v>6</v>
      </c>
      <c r="AO47" s="70">
        <v>6.25</v>
      </c>
      <c r="AP47" s="71">
        <f>SUM('P104'!$U47)</f>
        <v>11.43315018</v>
      </c>
      <c r="AQ47" s="134">
        <f>SUM(AN47,AJ47,AG47,AC47,X47,('P104'!$AO47)*H47)</f>
        <v>39.41486599</v>
      </c>
      <c r="AR47" s="217">
        <f>'P104'!$AP47+'P104'!$AQ47</f>
        <v>50.84801616</v>
      </c>
    </row>
    <row r="48" ht="14.25" customHeight="1">
      <c r="A48" s="137" t="s">
        <v>437</v>
      </c>
      <c r="B48" s="136">
        <v>2.02206967E8</v>
      </c>
      <c r="C48" s="214" t="s">
        <v>438</v>
      </c>
      <c r="D48" s="215">
        <v>4.0</v>
      </c>
      <c r="E48" s="83"/>
      <c r="F48" s="139">
        <v>1.0</v>
      </c>
      <c r="G48" s="139">
        <v>1.104579419</v>
      </c>
      <c r="H48" s="139">
        <v>1.062988007</v>
      </c>
      <c r="I48" s="52">
        <v>3.0</v>
      </c>
      <c r="J48" s="53">
        <v>2.0</v>
      </c>
      <c r="K48" s="54">
        <v>3.95</v>
      </c>
      <c r="L48" s="55">
        <f>IF(I48&lt;1.79,SUM(I48:J48), SUM('P104'!$Q48:$S48))</f>
        <v>8.7</v>
      </c>
      <c r="M48" s="52">
        <v>3.0</v>
      </c>
      <c r="N48" s="53">
        <v>2.0</v>
      </c>
      <c r="O48" s="54">
        <v>3.7</v>
      </c>
      <c r="P48" s="55">
        <f>IF(M48&lt;1.79,SUM(M48:N48), SUM('P104'!$Q48:$S48))</f>
        <v>8.7</v>
      </c>
      <c r="Q48" s="52">
        <v>3.0</v>
      </c>
      <c r="R48" s="53">
        <v>2.0</v>
      </c>
      <c r="S48" s="54">
        <v>3.7</v>
      </c>
      <c r="T48" s="55">
        <f>IF(Q48&lt;1.79,SUM(Q48:R48), SUM('P104'!$Q48:$S48))</f>
        <v>8.7</v>
      </c>
      <c r="U48" s="56">
        <f>('P104'!$L48+'P104'!$P48+'P104'!$T48)*'P104'!$F48</f>
        <v>26.1</v>
      </c>
      <c r="V48" s="57">
        <v>3.7</v>
      </c>
      <c r="W48" s="57">
        <v>6.6</v>
      </c>
      <c r="X48" s="58">
        <f>SUM('P104'!$V48:$W48)*'P104'!$G48</f>
        <v>11.37716802</v>
      </c>
      <c r="Y48" s="216">
        <v>2.0</v>
      </c>
      <c r="Z48" s="216">
        <v>1.5</v>
      </c>
      <c r="AA48" s="216">
        <v>5.0</v>
      </c>
      <c r="AB48" s="60" t="str">
        <f>IF(SUM('P104'!$Y48:$AA48)&gt;5.9,"SI","NO")</f>
        <v>SI</v>
      </c>
      <c r="AC48" s="61">
        <f>SUM('P104'!$Y48:$AA48)</f>
        <v>8.5</v>
      </c>
      <c r="AD48" s="62">
        <v>0.25</v>
      </c>
      <c r="AE48" s="62">
        <v>6.0</v>
      </c>
      <c r="AF48" s="63" t="str">
        <f>IF('P104'!$AG48&gt;5.9,"SI","NO")</f>
        <v>SI</v>
      </c>
      <c r="AG48" s="64">
        <f>SUM('P104'!$AD48:$AE48)</f>
        <v>6.25</v>
      </c>
      <c r="AH48" s="65">
        <v>4.5</v>
      </c>
      <c r="AI48" s="65">
        <v>4.5</v>
      </c>
      <c r="AJ48" s="66">
        <f>AVERAGE('P104'!$AH48:$AI48)*'P104'!$H48</f>
        <v>4.783446032</v>
      </c>
      <c r="AK48" s="142">
        <v>1.0</v>
      </c>
      <c r="AL48" s="143">
        <v>7.5</v>
      </c>
      <c r="AM48" s="144">
        <v>8.0</v>
      </c>
      <c r="AN48" s="130">
        <f>(1*('P104'!$AL48+'P104'!$AM48))*'P104'!$AK48</f>
        <v>15.5</v>
      </c>
      <c r="AO48" s="70">
        <v>8.0</v>
      </c>
      <c r="AP48" s="71">
        <f>SUM('P104'!$U48)</f>
        <v>26.1</v>
      </c>
      <c r="AQ48" s="134">
        <f>SUM(AN48,AJ48,AG48,AC48,X48,('P104'!$AO48)*H48)</f>
        <v>54.9145181</v>
      </c>
      <c r="AR48" s="217">
        <f>'P104'!$AP48+'P104'!$AQ48</f>
        <v>81.0145181</v>
      </c>
    </row>
    <row r="49" ht="14.25" customHeight="1">
      <c r="A49" s="145" t="s">
        <v>439</v>
      </c>
      <c r="B49" s="146">
        <v>2.02502696E8</v>
      </c>
      <c r="C49" s="218" t="s">
        <v>440</v>
      </c>
      <c r="D49" s="219">
        <v>3.0</v>
      </c>
      <c r="E49" s="83"/>
      <c r="F49" s="139">
        <v>1.06328188</v>
      </c>
      <c r="G49" s="139">
        <v>1.05718828</v>
      </c>
      <c r="H49" s="139">
        <v>1.026773376</v>
      </c>
      <c r="I49" s="52">
        <v>2.25</v>
      </c>
      <c r="J49" s="53">
        <v>2.0</v>
      </c>
      <c r="K49" s="54">
        <v>3.95</v>
      </c>
      <c r="L49" s="55">
        <f>IF(I49&lt;1.79,SUM(I49:J49), SUM('P104'!$Q49:$S49))</f>
        <v>7.45</v>
      </c>
      <c r="M49" s="52">
        <v>0.5</v>
      </c>
      <c r="N49" s="53">
        <v>2.0</v>
      </c>
      <c r="O49" s="54">
        <v>4.95</v>
      </c>
      <c r="P49" s="55">
        <f>IF(M49&lt;1.79,SUM(M49:N49), SUM('P104'!$Q49:$S49))</f>
        <v>2.5</v>
      </c>
      <c r="Q49" s="52">
        <v>0.5</v>
      </c>
      <c r="R49" s="53">
        <v>2.0</v>
      </c>
      <c r="S49" s="54">
        <v>4.95</v>
      </c>
      <c r="T49" s="55">
        <f>IF(Q49&lt;1.79,SUM(Q49:R49), SUM('P104'!$Q49:$S49))</f>
        <v>2.5</v>
      </c>
      <c r="U49" s="56">
        <f>('P104'!$L49+'P104'!$P49+'P104'!$T49)*'P104'!$F49</f>
        <v>13.23785941</v>
      </c>
      <c r="V49" s="57">
        <v>3.95</v>
      </c>
      <c r="W49" s="57">
        <v>7.7</v>
      </c>
      <c r="X49" s="58">
        <f>SUM('P104'!$V49:$W49)*'P104'!$G49</f>
        <v>12.31624346</v>
      </c>
      <c r="Y49" s="216">
        <v>1.0</v>
      </c>
      <c r="Z49" s="216">
        <v>0.0</v>
      </c>
      <c r="AA49" s="216">
        <v>0.0</v>
      </c>
      <c r="AB49" s="60" t="str">
        <f>IF(SUM('P104'!$Y49:$AA49)&gt;5.9,"SI","NO")</f>
        <v>NO</v>
      </c>
      <c r="AC49" s="61">
        <f>SUM('P104'!$Y49:$AA49)</f>
        <v>1</v>
      </c>
      <c r="AD49" s="62">
        <v>1.5</v>
      </c>
      <c r="AE49" s="62">
        <v>5.0</v>
      </c>
      <c r="AF49" s="63" t="str">
        <f>IF('P104'!$AG49&gt;5.9,"SI","NO")</f>
        <v>SI</v>
      </c>
      <c r="AG49" s="64">
        <f>SUM('P104'!$AD49:$AE49)</f>
        <v>6.5</v>
      </c>
      <c r="AH49" s="65">
        <v>4.75</v>
      </c>
      <c r="AI49" s="65">
        <v>5.0</v>
      </c>
      <c r="AJ49" s="66">
        <f>AVERAGE('P104'!$AH49:$AI49)*'P104'!$H49</f>
        <v>5.005520208</v>
      </c>
      <c r="AK49" s="142">
        <v>1.0</v>
      </c>
      <c r="AL49" s="143">
        <v>0.0</v>
      </c>
      <c r="AM49" s="144">
        <v>0.0</v>
      </c>
      <c r="AN49" s="130">
        <f>(1*('P104'!$AL49+'P104'!$AM49))*'P104'!$AK49</f>
        <v>0</v>
      </c>
      <c r="AO49" s="70">
        <v>9.0</v>
      </c>
      <c r="AP49" s="71">
        <f>SUM('P104'!$U49)</f>
        <v>13.23785941</v>
      </c>
      <c r="AQ49" s="134">
        <f>SUM(AN49,AJ49,AG49,AC49,X49,('P104'!$AO49)*H49)</f>
        <v>34.06272405</v>
      </c>
      <c r="AR49" s="217">
        <f>'P104'!$AP49+'P104'!$AQ49</f>
        <v>47.30058346</v>
      </c>
    </row>
    <row r="50" ht="14.25" customHeight="1">
      <c r="A50" s="137" t="s">
        <v>441</v>
      </c>
      <c r="B50" s="136">
        <v>2.02509378E8</v>
      </c>
      <c r="C50" s="214" t="s">
        <v>442</v>
      </c>
      <c r="D50" s="215">
        <v>5.0</v>
      </c>
      <c r="E50" s="83"/>
      <c r="F50" s="139">
        <v>0.76968634</v>
      </c>
      <c r="G50" s="139">
        <v>0.813667829</v>
      </c>
      <c r="H50" s="139">
        <v>0.811107106</v>
      </c>
      <c r="I50" s="52">
        <v>3.0</v>
      </c>
      <c r="J50" s="53">
        <v>2.0</v>
      </c>
      <c r="K50" s="54">
        <v>4.65</v>
      </c>
      <c r="L50" s="55">
        <f>IF(I50&lt;1.79,SUM(I50:J50), SUM('P104'!$Q50:$S50))</f>
        <v>7.7</v>
      </c>
      <c r="M50" s="52">
        <v>1.5</v>
      </c>
      <c r="N50" s="53">
        <v>2.0</v>
      </c>
      <c r="O50" s="54">
        <v>4.2</v>
      </c>
      <c r="P50" s="55">
        <f>IF(M50&lt;1.79,SUM(M50:N50), SUM('P104'!$Q50:$S50))</f>
        <v>3.5</v>
      </c>
      <c r="Q50" s="52">
        <v>1.5</v>
      </c>
      <c r="R50" s="53">
        <v>2.0</v>
      </c>
      <c r="S50" s="54">
        <v>4.2</v>
      </c>
      <c r="T50" s="55">
        <f>IF(Q50&lt;1.79,SUM(Q50:R50), SUM('P104'!$Q50:$S50))</f>
        <v>3.5</v>
      </c>
      <c r="U50" s="56">
        <f>('P104'!$L50+'P104'!$P50+'P104'!$T50)*'P104'!$F50</f>
        <v>11.3143892</v>
      </c>
      <c r="V50" s="57">
        <v>3.8</v>
      </c>
      <c r="W50" s="57">
        <v>5.8</v>
      </c>
      <c r="X50" s="58">
        <f>SUM('P104'!$V50:$W50)*'P104'!$G50</f>
        <v>7.811211158</v>
      </c>
      <c r="Y50" s="216">
        <v>0.5</v>
      </c>
      <c r="Z50" s="216">
        <v>0.0</v>
      </c>
      <c r="AA50" s="216">
        <v>0.0</v>
      </c>
      <c r="AB50" s="60" t="str">
        <f>IF(SUM('P104'!$Y50:$AA50)&gt;5.9,"SI","NO")</f>
        <v>NO</v>
      </c>
      <c r="AC50" s="61">
        <f>SUM('P104'!$Y50:$AA50)</f>
        <v>0.5</v>
      </c>
      <c r="AD50" s="62">
        <v>0.5</v>
      </c>
      <c r="AE50" s="62">
        <v>6.0</v>
      </c>
      <c r="AF50" s="63" t="str">
        <f>IF('P104'!$AG50&gt;5.9,"SI","NO")</f>
        <v>SI</v>
      </c>
      <c r="AG50" s="64">
        <f>SUM('P104'!$AD50:$AE50)</f>
        <v>6.5</v>
      </c>
      <c r="AH50" s="65">
        <v>3.6</v>
      </c>
      <c r="AI50" s="65">
        <v>1.5</v>
      </c>
      <c r="AJ50" s="66">
        <f>AVERAGE('P104'!$AH50:$AI50)*'P104'!$H50</f>
        <v>2.06832312</v>
      </c>
      <c r="AK50" s="142">
        <v>1.0</v>
      </c>
      <c r="AL50" s="143">
        <v>0.0</v>
      </c>
      <c r="AM50" s="144">
        <v>0.0</v>
      </c>
      <c r="AN50" s="130">
        <f>(1*('P104'!$AL50+'P104'!$AM50))*'P104'!$AK50</f>
        <v>0</v>
      </c>
      <c r="AO50" s="70">
        <v>7.25</v>
      </c>
      <c r="AP50" s="71">
        <f>SUM('P104'!$U50)</f>
        <v>11.3143892</v>
      </c>
      <c r="AQ50" s="134">
        <f>SUM(AN50,AJ50,AG50,AC50,X50,('P104'!$AO50)*H50)</f>
        <v>22.7600608</v>
      </c>
      <c r="AR50" s="217">
        <f>'P104'!$AP50+'P104'!$AQ50</f>
        <v>34.07445</v>
      </c>
    </row>
    <row r="51" ht="14.25" customHeight="1">
      <c r="A51" s="145" t="s">
        <v>443</v>
      </c>
      <c r="B51" s="146">
        <v>2.02504718E8</v>
      </c>
      <c r="C51" s="218" t="s">
        <v>444</v>
      </c>
      <c r="D51" s="219">
        <v>9.0</v>
      </c>
      <c r="E51" s="83"/>
      <c r="F51" s="139">
        <v>1.037024105</v>
      </c>
      <c r="G51" s="139">
        <v>0.5</v>
      </c>
      <c r="H51" s="139">
        <v>0.5</v>
      </c>
      <c r="I51" s="52">
        <v>3.0</v>
      </c>
      <c r="J51" s="53">
        <v>2.0</v>
      </c>
      <c r="K51" s="54">
        <v>4.5</v>
      </c>
      <c r="L51" s="55">
        <f>IF(I51&lt;1.79,SUM(I51:J51), SUM('P104'!$Q51:$S51))</f>
        <v>8.75</v>
      </c>
      <c r="M51" s="52">
        <v>2.25</v>
      </c>
      <c r="N51" s="53">
        <v>2.0</v>
      </c>
      <c r="O51" s="54">
        <v>4.5</v>
      </c>
      <c r="P51" s="55">
        <f>IF(M51&lt;1.79,SUM(M51:N51), SUM('P104'!$Q51:$S51))</f>
        <v>8.75</v>
      </c>
      <c r="Q51" s="52">
        <v>2.25</v>
      </c>
      <c r="R51" s="53">
        <v>2.0</v>
      </c>
      <c r="S51" s="54">
        <v>4.5</v>
      </c>
      <c r="T51" s="55">
        <f>IF(Q51&lt;1.79,SUM(Q51:R51), SUM('P104'!$Q51:$S51))</f>
        <v>8.75</v>
      </c>
      <c r="U51" s="56">
        <f>('P104'!$L51+'P104'!$P51+'P104'!$T51)*'P104'!$F51</f>
        <v>27.22188276</v>
      </c>
      <c r="V51" s="57">
        <v>3.7</v>
      </c>
      <c r="W51" s="57">
        <v>6.3</v>
      </c>
      <c r="X51" s="58">
        <f>SUM('P104'!$V51:$W51)*'P104'!$G51</f>
        <v>5</v>
      </c>
      <c r="Y51" s="216">
        <v>0.0</v>
      </c>
      <c r="Z51" s="216">
        <v>0.0</v>
      </c>
      <c r="AA51" s="216">
        <v>3.75</v>
      </c>
      <c r="AB51" s="60" t="str">
        <f>IF(SUM('P104'!$Y51:$AA51)&gt;5.9,"SI","NO")</f>
        <v>NO</v>
      </c>
      <c r="AC51" s="61">
        <f>SUM('P104'!$Y51:$AA51)</f>
        <v>3.75</v>
      </c>
      <c r="AD51" s="62">
        <v>2.0</v>
      </c>
      <c r="AE51" s="62">
        <v>3.0</v>
      </c>
      <c r="AF51" s="63" t="str">
        <f>IF('P104'!$AG51&gt;5.9,"SI","NO")</f>
        <v>NO</v>
      </c>
      <c r="AG51" s="64">
        <f>SUM('P104'!$AD51:$AE51)</f>
        <v>5</v>
      </c>
      <c r="AH51" s="141">
        <f>IF('P104'!$AF51="NO",0," ")</f>
        <v>0</v>
      </c>
      <c r="AI51" s="141">
        <f>IF('P104'!$AF51="NO",0," ")</f>
        <v>0</v>
      </c>
      <c r="AJ51" s="66">
        <f>AVERAGE('P104'!$AH51:$AI51)*'P104'!$H51</f>
        <v>0</v>
      </c>
      <c r="AK51" s="142">
        <v>0.0</v>
      </c>
      <c r="AL51" s="143">
        <v>0.0</v>
      </c>
      <c r="AM51" s="144">
        <v>0.0</v>
      </c>
      <c r="AN51" s="130">
        <f>(1*('P104'!$AL51+'P104'!$AM51))*'P104'!$AK51</f>
        <v>0</v>
      </c>
      <c r="AO51" s="70">
        <v>6.5</v>
      </c>
      <c r="AP51" s="71">
        <f>SUM('P104'!$U51)</f>
        <v>27.22188276</v>
      </c>
      <c r="AQ51" s="134">
        <f>SUM(AN51,AJ51,AG51,AC51,X51,('P104'!$AO51)*H51)</f>
        <v>17</v>
      </c>
      <c r="AR51" s="217">
        <f>'P104'!$AP51+'P104'!$AQ51</f>
        <v>44.22188276</v>
      </c>
    </row>
    <row r="52" ht="14.25" customHeight="1">
      <c r="A52" s="137" t="s">
        <v>445</v>
      </c>
      <c r="B52" s="136">
        <v>2.02502068E8</v>
      </c>
      <c r="C52" s="214" t="s">
        <v>446</v>
      </c>
      <c r="D52" s="215">
        <v>10.0</v>
      </c>
      <c r="E52" s="83"/>
      <c r="F52" s="139">
        <v>0.981550233</v>
      </c>
      <c r="G52" s="139">
        <v>0.970839191</v>
      </c>
      <c r="H52" s="139">
        <v>0.986013297</v>
      </c>
      <c r="I52" s="52">
        <v>2.25</v>
      </c>
      <c r="J52" s="53">
        <v>2.0</v>
      </c>
      <c r="K52" s="54">
        <v>4.05</v>
      </c>
      <c r="L52" s="55">
        <f>IF(I52&lt;1.79,SUM(I52:J52), SUM('P104'!$Q52:$S52))</f>
        <v>8.8</v>
      </c>
      <c r="M52" s="52">
        <v>2.75</v>
      </c>
      <c r="N52" s="53">
        <v>2.0</v>
      </c>
      <c r="O52" s="54">
        <v>4.05</v>
      </c>
      <c r="P52" s="55">
        <f>IF(M52&lt;1.79,SUM(M52:N52), SUM('P104'!$Q52:$S52))</f>
        <v>8.8</v>
      </c>
      <c r="Q52" s="52">
        <v>2.75</v>
      </c>
      <c r="R52" s="53">
        <v>2.0</v>
      </c>
      <c r="S52" s="54">
        <v>4.05</v>
      </c>
      <c r="T52" s="55">
        <f>IF(Q52&lt;1.79,SUM(Q52:R52), SUM('P104'!$Q52:$S52))</f>
        <v>8.8</v>
      </c>
      <c r="U52" s="56">
        <f>('P104'!$L52+'P104'!$P52+'P104'!$T52)*'P104'!$F52</f>
        <v>25.91292615</v>
      </c>
      <c r="V52" s="57">
        <v>3.8</v>
      </c>
      <c r="W52" s="57">
        <v>6.2</v>
      </c>
      <c r="X52" s="58">
        <f>SUM('P104'!$V52:$W52)*'P104'!$G52</f>
        <v>9.70839191</v>
      </c>
      <c r="Y52" s="216">
        <v>0.5</v>
      </c>
      <c r="Z52" s="216">
        <v>3.0</v>
      </c>
      <c r="AA52" s="216">
        <v>5.0</v>
      </c>
      <c r="AB52" s="60" t="str">
        <f>IF(SUM('P104'!$Y52:$AA52)&gt;5.9,"SI","NO")</f>
        <v>SI</v>
      </c>
      <c r="AC52" s="61">
        <f>SUM('P104'!$Y52:$AA52)</f>
        <v>8.5</v>
      </c>
      <c r="AD52" s="62">
        <v>2.0</v>
      </c>
      <c r="AE52" s="62">
        <v>3.0</v>
      </c>
      <c r="AF52" s="63" t="str">
        <f>IF('P104'!$AG52&gt;5.9,"SI","NO")</f>
        <v>NO</v>
      </c>
      <c r="AG52" s="64">
        <f>SUM('P104'!$AD52:$AE52)</f>
        <v>5</v>
      </c>
      <c r="AH52" s="141">
        <f>IF('P104'!$AF52="NO",0," ")</f>
        <v>0</v>
      </c>
      <c r="AI52" s="141">
        <f>IF('P104'!$AF52="NO",0," ")</f>
        <v>0</v>
      </c>
      <c r="AJ52" s="66">
        <f>AVERAGE('P104'!$AH52:$AI52)*'P104'!$H52</f>
        <v>0</v>
      </c>
      <c r="AK52" s="142">
        <v>0.0</v>
      </c>
      <c r="AL52" s="143">
        <v>0.0</v>
      </c>
      <c r="AM52" s="144">
        <v>0.0</v>
      </c>
      <c r="AN52" s="130">
        <f>(1*('P104'!$AL52+'P104'!$AM52))*'P104'!$AK52</f>
        <v>0</v>
      </c>
      <c r="AO52" s="70">
        <v>5.0</v>
      </c>
      <c r="AP52" s="71">
        <f>SUM('P104'!$U52)</f>
        <v>25.91292615</v>
      </c>
      <c r="AQ52" s="134">
        <f>SUM(AN52,AJ52,AG52,AC52,X52,('P104'!$AO52)*H52)</f>
        <v>28.1384584</v>
      </c>
      <c r="AR52" s="217">
        <f>'P104'!$AP52+'P104'!$AQ52</f>
        <v>54.05138455</v>
      </c>
    </row>
    <row r="53" ht="14.25" customHeight="1">
      <c r="A53" s="145" t="s">
        <v>447</v>
      </c>
      <c r="B53" s="146">
        <v>2.02509584E8</v>
      </c>
      <c r="C53" s="218" t="s">
        <v>448</v>
      </c>
      <c r="D53" s="219">
        <v>1.0</v>
      </c>
      <c r="E53" s="83"/>
      <c r="F53" s="139">
        <v>1.109400392</v>
      </c>
      <c r="G53" s="139">
        <v>1.004813951</v>
      </c>
      <c r="H53" s="139">
        <v>1.080414549</v>
      </c>
      <c r="I53" s="52">
        <v>3.0</v>
      </c>
      <c r="J53" s="53">
        <v>2.0</v>
      </c>
      <c r="K53" s="54">
        <v>4.6</v>
      </c>
      <c r="L53" s="55">
        <f>IF(I53&lt;1.79,SUM(I53:J53), SUM('P104'!$Q53:$S53))</f>
        <v>8.35</v>
      </c>
      <c r="M53" s="85">
        <v>2.25</v>
      </c>
      <c r="N53" s="86">
        <v>2.0</v>
      </c>
      <c r="O53" s="73">
        <v>4.1</v>
      </c>
      <c r="P53" s="55">
        <f>IF(M53&lt;1.79,SUM(M53:N53), SUM('P104'!$Q53:$S53))</f>
        <v>8.35</v>
      </c>
      <c r="Q53" s="85">
        <v>2.25</v>
      </c>
      <c r="R53" s="53">
        <v>2.0</v>
      </c>
      <c r="S53" s="73">
        <v>4.1</v>
      </c>
      <c r="T53" s="55">
        <f>IF(Q53&lt;1.79,SUM(Q53:R53), SUM('P104'!$Q53:$S53))</f>
        <v>8.35</v>
      </c>
      <c r="U53" s="222">
        <f>('P104'!$L53+'P104'!$P53+'P104'!$T53)*'P104'!$F53</f>
        <v>27.79047982</v>
      </c>
      <c r="V53" s="223">
        <v>2.85</v>
      </c>
      <c r="W53" s="223">
        <v>5.4</v>
      </c>
      <c r="X53" s="224">
        <f>SUM('P104'!$V53:$W53)*'P104'!$G53</f>
        <v>8.289715096</v>
      </c>
      <c r="Y53" s="225">
        <v>0.5</v>
      </c>
      <c r="Z53" s="225">
        <v>3.0</v>
      </c>
      <c r="AA53" s="226">
        <v>3.75</v>
      </c>
      <c r="AB53" s="227" t="str">
        <f>IF(SUM('P104'!$Y53:$AA53)&gt;5.9,"SI","NO")</f>
        <v>SI</v>
      </c>
      <c r="AC53" s="228">
        <f>SUM('P104'!$Y53:$AA53)</f>
        <v>7.25</v>
      </c>
      <c r="AD53" s="229">
        <v>2.0</v>
      </c>
      <c r="AE53" s="229">
        <v>6.0</v>
      </c>
      <c r="AF53" s="230" t="str">
        <f>IF('P104'!$AG53&gt;5.9,"SI","NO")</f>
        <v>SI</v>
      </c>
      <c r="AG53" s="231">
        <f>SUM('P104'!$AD53:$AE53)</f>
        <v>8</v>
      </c>
      <c r="AH53" s="65">
        <v>4.5</v>
      </c>
      <c r="AI53" s="65">
        <v>5.0</v>
      </c>
      <c r="AJ53" s="232">
        <f>AVERAGE('P104'!$AH53:$AI53)*'P104'!$H53</f>
        <v>5.131969108</v>
      </c>
      <c r="AK53" s="233">
        <v>1.0</v>
      </c>
      <c r="AL53" s="234">
        <v>5.0</v>
      </c>
      <c r="AM53" s="235">
        <v>8.0</v>
      </c>
      <c r="AN53" s="130">
        <f>(1*('P104'!$AL53+'P104'!$AM53))*'P104'!$AK53</f>
        <v>13</v>
      </c>
      <c r="AO53" s="236">
        <v>7.25</v>
      </c>
      <c r="AP53" s="100">
        <f>SUM('P104'!$U53)</f>
        <v>27.79047982</v>
      </c>
      <c r="AQ53" s="134">
        <f>SUM(AN53,AJ53,AG53,AC53,X53,('P104'!$AO53)*H53)</f>
        <v>49.50468968</v>
      </c>
      <c r="AR53" s="237">
        <f>'P104'!$AP53+'P104'!$AQ53</f>
        <v>77.2951695</v>
      </c>
    </row>
    <row r="54" ht="14.25" customHeight="1">
      <c r="A54" s="48"/>
      <c r="B54" s="49"/>
      <c r="C54" s="49"/>
      <c r="D54" s="50"/>
      <c r="E54" s="49"/>
      <c r="F54" s="238"/>
      <c r="G54" s="238"/>
      <c r="H54" s="238"/>
      <c r="I54" s="103"/>
      <c r="J54" s="49"/>
      <c r="K54" s="49"/>
      <c r="L54" s="239"/>
      <c r="M54" s="49"/>
      <c r="N54" s="49"/>
      <c r="O54" s="49"/>
      <c r="P54" s="87"/>
      <c r="Q54" s="49"/>
      <c r="R54" s="49"/>
      <c r="S54" s="49"/>
      <c r="T54" s="55"/>
      <c r="U54" s="56"/>
      <c r="V54" s="49"/>
      <c r="W54" s="49"/>
      <c r="X54" s="58"/>
      <c r="Y54" s="240"/>
      <c r="Z54" s="241"/>
      <c r="AA54" s="241"/>
      <c r="AB54" s="242"/>
      <c r="AC54" s="243"/>
      <c r="AD54" s="63"/>
      <c r="AE54" s="63"/>
      <c r="AF54" s="62"/>
      <c r="AG54" s="244"/>
      <c r="AH54" s="141"/>
      <c r="AI54" s="141"/>
      <c r="AJ54" s="245"/>
      <c r="AK54" s="142" t="s">
        <v>249</v>
      </c>
      <c r="AL54" s="143" t="s">
        <v>249</v>
      </c>
      <c r="AM54" s="144" t="s">
        <v>249</v>
      </c>
      <c r="AN54" s="46"/>
      <c r="AO54" s="246"/>
      <c r="AP54" s="71"/>
      <c r="AQ54" s="71"/>
      <c r="AR54" s="247">
        <f>AVERAGE(AR4:AR53)</f>
        <v>51.23108475</v>
      </c>
    </row>
    <row r="55" ht="14.25" customHeight="1">
      <c r="F55" s="173"/>
      <c r="G55" s="173"/>
      <c r="H55" s="173"/>
      <c r="Y55" s="248"/>
      <c r="Z55" s="248"/>
      <c r="AA55" s="248"/>
    </row>
    <row r="56" ht="14.25" customHeight="1">
      <c r="F56" s="173"/>
      <c r="G56" s="173"/>
      <c r="H56" s="173"/>
      <c r="Y56" s="248"/>
      <c r="Z56" s="248"/>
      <c r="AA56" s="248"/>
    </row>
    <row r="57" ht="14.25" customHeight="1">
      <c r="F57" s="173"/>
      <c r="G57" s="173"/>
      <c r="H57" s="173"/>
      <c r="Y57" s="248"/>
      <c r="Z57" s="248"/>
      <c r="AA57" s="248"/>
    </row>
    <row r="58" ht="14.25" customHeight="1">
      <c r="F58" s="173"/>
      <c r="G58" s="173"/>
      <c r="H58" s="173"/>
      <c r="Y58" s="248"/>
      <c r="Z58" s="248"/>
      <c r="AA58" s="248"/>
    </row>
    <row r="59" ht="14.25" customHeight="1">
      <c r="F59" s="173"/>
      <c r="G59" s="173"/>
      <c r="H59" s="173"/>
      <c r="Y59" s="248"/>
      <c r="Z59" s="248"/>
      <c r="AA59" s="248"/>
    </row>
    <row r="60" ht="14.25" customHeight="1">
      <c r="F60" s="173"/>
      <c r="G60" s="173"/>
      <c r="H60" s="173"/>
      <c r="Y60" s="248"/>
      <c r="Z60" s="248"/>
      <c r="AA60" s="248"/>
    </row>
    <row r="61" ht="14.25" customHeight="1">
      <c r="F61" s="173"/>
      <c r="G61" s="173"/>
      <c r="H61" s="173"/>
      <c r="Y61" s="248"/>
      <c r="Z61" s="248"/>
      <c r="AA61" s="248"/>
    </row>
    <row r="62" ht="14.25" customHeight="1">
      <c r="F62" s="173"/>
      <c r="G62" s="173"/>
      <c r="H62" s="173"/>
      <c r="Y62" s="248"/>
      <c r="Z62" s="248"/>
      <c r="AA62" s="248"/>
    </row>
    <row r="63" ht="14.25" customHeight="1">
      <c r="F63" s="173"/>
      <c r="G63" s="173"/>
      <c r="H63" s="173"/>
      <c r="Y63" s="248"/>
      <c r="Z63" s="248"/>
      <c r="AA63" s="248"/>
    </row>
    <row r="64" ht="14.25" customHeight="1">
      <c r="F64" s="173"/>
      <c r="G64" s="173"/>
      <c r="H64" s="173"/>
      <c r="Y64" s="248"/>
      <c r="Z64" s="248"/>
      <c r="AA64" s="248"/>
    </row>
    <row r="65" ht="14.25" customHeight="1">
      <c r="F65" s="173"/>
      <c r="G65" s="173"/>
      <c r="H65" s="173"/>
      <c r="Y65" s="248"/>
      <c r="Z65" s="248"/>
      <c r="AA65" s="248"/>
    </row>
    <row r="66" ht="14.25" customHeight="1">
      <c r="F66" s="173"/>
      <c r="G66" s="173"/>
      <c r="H66" s="173"/>
      <c r="Y66" s="248"/>
      <c r="Z66" s="248"/>
      <c r="AA66" s="248"/>
    </row>
    <row r="67" ht="14.25" customHeight="1">
      <c r="F67" s="173"/>
      <c r="G67" s="173"/>
      <c r="H67" s="173"/>
      <c r="Y67" s="248"/>
      <c r="Z67" s="248"/>
      <c r="AA67" s="248"/>
    </row>
    <row r="68" ht="14.25" customHeight="1">
      <c r="F68" s="173"/>
      <c r="G68" s="173"/>
      <c r="H68" s="173"/>
      <c r="Y68" s="248"/>
      <c r="Z68" s="248"/>
      <c r="AA68" s="248"/>
    </row>
    <row r="69" ht="14.25" customHeight="1">
      <c r="F69" s="173"/>
      <c r="G69" s="173"/>
      <c r="H69" s="173"/>
      <c r="Y69" s="248"/>
      <c r="Z69" s="248"/>
      <c r="AA69" s="248"/>
    </row>
    <row r="70" ht="14.25" customHeight="1">
      <c r="F70" s="173"/>
      <c r="G70" s="173"/>
      <c r="H70" s="173"/>
      <c r="Y70" s="248"/>
      <c r="Z70" s="248"/>
      <c r="AA70" s="248"/>
    </row>
    <row r="71" ht="14.25" customHeight="1">
      <c r="F71" s="173"/>
      <c r="G71" s="173"/>
      <c r="H71" s="173"/>
      <c r="Y71" s="248"/>
      <c r="Z71" s="248"/>
      <c r="AA71" s="248"/>
    </row>
    <row r="72" ht="14.25" customHeight="1">
      <c r="F72" s="173"/>
      <c r="G72" s="173"/>
      <c r="H72" s="173"/>
      <c r="Y72" s="248"/>
      <c r="Z72" s="248"/>
      <c r="AA72" s="248"/>
    </row>
    <row r="73" ht="14.25" customHeight="1">
      <c r="F73" s="173"/>
      <c r="G73" s="173"/>
      <c r="H73" s="173"/>
      <c r="Y73" s="248"/>
      <c r="Z73" s="248"/>
      <c r="AA73" s="248"/>
    </row>
    <row r="74" ht="14.25" customHeight="1">
      <c r="F74" s="173"/>
      <c r="G74" s="173"/>
      <c r="H74" s="173"/>
      <c r="Y74" s="248"/>
      <c r="Z74" s="248"/>
      <c r="AA74" s="248"/>
    </row>
    <row r="75" ht="14.25" customHeight="1">
      <c r="F75" s="173"/>
      <c r="G75" s="173"/>
      <c r="H75" s="173"/>
      <c r="Y75" s="248"/>
      <c r="Z75" s="248"/>
      <c r="AA75" s="248"/>
    </row>
    <row r="76" ht="14.25" customHeight="1">
      <c r="F76" s="173"/>
      <c r="G76" s="173"/>
      <c r="H76" s="173"/>
      <c r="Y76" s="248"/>
      <c r="Z76" s="248"/>
      <c r="AA76" s="248"/>
    </row>
    <row r="77" ht="14.25" customHeight="1">
      <c r="F77" s="173"/>
      <c r="G77" s="173"/>
      <c r="H77" s="173"/>
      <c r="Y77" s="248"/>
      <c r="Z77" s="248"/>
      <c r="AA77" s="248"/>
    </row>
    <row r="78" ht="14.25" customHeight="1">
      <c r="F78" s="173"/>
      <c r="G78" s="173"/>
      <c r="H78" s="173"/>
      <c r="Y78" s="248"/>
      <c r="Z78" s="248"/>
      <c r="AA78" s="248"/>
    </row>
    <row r="79" ht="14.25" customHeight="1">
      <c r="F79" s="173"/>
      <c r="G79" s="173"/>
      <c r="H79" s="173"/>
      <c r="Y79" s="248"/>
      <c r="Z79" s="248"/>
      <c r="AA79" s="248"/>
    </row>
    <row r="80" ht="14.25" customHeight="1">
      <c r="F80" s="173"/>
      <c r="G80" s="173"/>
      <c r="H80" s="173"/>
      <c r="Y80" s="248"/>
      <c r="Z80" s="248"/>
      <c r="AA80" s="248"/>
    </row>
    <row r="81" ht="14.25" customHeight="1">
      <c r="F81" s="173"/>
      <c r="G81" s="173"/>
      <c r="H81" s="173"/>
      <c r="Y81" s="248"/>
      <c r="Z81" s="248"/>
      <c r="AA81" s="248"/>
    </row>
    <row r="82" ht="14.25" customHeight="1">
      <c r="F82" s="173"/>
      <c r="G82" s="173"/>
      <c r="H82" s="173"/>
      <c r="Y82" s="248"/>
      <c r="Z82" s="248"/>
      <c r="AA82" s="248"/>
    </row>
    <row r="83" ht="14.25" customHeight="1">
      <c r="F83" s="173"/>
      <c r="G83" s="173"/>
      <c r="H83" s="173"/>
      <c r="Y83" s="248"/>
      <c r="Z83" s="248"/>
      <c r="AA83" s="248"/>
    </row>
    <row r="84" ht="14.25" customHeight="1">
      <c r="F84" s="173"/>
      <c r="G84" s="173"/>
      <c r="H84" s="173"/>
      <c r="Y84" s="248"/>
      <c r="Z84" s="248"/>
      <c r="AA84" s="248"/>
    </row>
    <row r="85" ht="14.25" customHeight="1">
      <c r="F85" s="173"/>
      <c r="G85" s="173"/>
      <c r="H85" s="173"/>
      <c r="Y85" s="248"/>
      <c r="Z85" s="248"/>
      <c r="AA85" s="248"/>
    </row>
    <row r="86" ht="14.25" customHeight="1">
      <c r="F86" s="173"/>
      <c r="G86" s="173"/>
      <c r="H86" s="173"/>
      <c r="Y86" s="248"/>
      <c r="Z86" s="248"/>
      <c r="AA86" s="248"/>
    </row>
    <row r="87" ht="14.25" customHeight="1">
      <c r="F87" s="173"/>
      <c r="G87" s="173"/>
      <c r="H87" s="173"/>
      <c r="Y87" s="248"/>
      <c r="Z87" s="248"/>
      <c r="AA87" s="248"/>
    </row>
    <row r="88" ht="14.25" customHeight="1">
      <c r="F88" s="173"/>
      <c r="G88" s="173"/>
      <c r="H88" s="173"/>
      <c r="Y88" s="248"/>
      <c r="Z88" s="248"/>
      <c r="AA88" s="248"/>
    </row>
    <row r="89" ht="14.25" customHeight="1">
      <c r="F89" s="173"/>
      <c r="G89" s="173"/>
      <c r="H89" s="173"/>
      <c r="Y89" s="248"/>
      <c r="Z89" s="248"/>
      <c r="AA89" s="248"/>
    </row>
    <row r="90" ht="14.25" customHeight="1">
      <c r="F90" s="173"/>
      <c r="G90" s="173"/>
      <c r="H90" s="173"/>
      <c r="Y90" s="248"/>
      <c r="Z90" s="248"/>
      <c r="AA90" s="248"/>
    </row>
    <row r="91" ht="14.25" customHeight="1">
      <c r="F91" s="173"/>
      <c r="G91" s="173"/>
      <c r="H91" s="173"/>
      <c r="Y91" s="248"/>
      <c r="Z91" s="248"/>
      <c r="AA91" s="248"/>
    </row>
    <row r="92" ht="14.25" customHeight="1">
      <c r="F92" s="173"/>
      <c r="G92" s="173"/>
      <c r="H92" s="173"/>
      <c r="Y92" s="248"/>
      <c r="Z92" s="248"/>
      <c r="AA92" s="248"/>
    </row>
    <row r="93" ht="14.25" customHeight="1">
      <c r="F93" s="173"/>
      <c r="G93" s="173"/>
      <c r="H93" s="173"/>
      <c r="Y93" s="248"/>
      <c r="Z93" s="248"/>
      <c r="AA93" s="248"/>
    </row>
    <row r="94" ht="14.25" customHeight="1">
      <c r="F94" s="173"/>
      <c r="G94" s="173"/>
      <c r="H94" s="173"/>
      <c r="Y94" s="248"/>
      <c r="Z94" s="248"/>
      <c r="AA94" s="248"/>
    </row>
    <row r="95" ht="14.25" customHeight="1">
      <c r="F95" s="173"/>
      <c r="G95" s="173"/>
      <c r="H95" s="173"/>
      <c r="Y95" s="248"/>
      <c r="Z95" s="248"/>
      <c r="AA95" s="248"/>
    </row>
    <row r="96" ht="14.25" customHeight="1">
      <c r="F96" s="173"/>
      <c r="G96" s="173"/>
      <c r="H96" s="173"/>
      <c r="Y96" s="248"/>
      <c r="Z96" s="248"/>
      <c r="AA96" s="248"/>
    </row>
    <row r="97" ht="14.25" customHeight="1">
      <c r="F97" s="173"/>
      <c r="G97" s="173"/>
      <c r="H97" s="173"/>
      <c r="Y97" s="248"/>
      <c r="Z97" s="248"/>
      <c r="AA97" s="248"/>
    </row>
    <row r="98" ht="14.25" customHeight="1">
      <c r="F98" s="173"/>
      <c r="G98" s="173"/>
      <c r="H98" s="173"/>
      <c r="Y98" s="248"/>
      <c r="Z98" s="248"/>
      <c r="AA98" s="248"/>
    </row>
    <row r="99" ht="14.25" customHeight="1">
      <c r="F99" s="173"/>
      <c r="G99" s="173"/>
      <c r="H99" s="173"/>
      <c r="Y99" s="248"/>
      <c r="Z99" s="248"/>
      <c r="AA99" s="248"/>
    </row>
    <row r="100" ht="14.25" customHeight="1">
      <c r="F100" s="173"/>
      <c r="G100" s="173"/>
      <c r="H100" s="173"/>
      <c r="Y100" s="248"/>
      <c r="Z100" s="248"/>
      <c r="AA100" s="248"/>
    </row>
    <row r="101" ht="14.25" customHeight="1">
      <c r="F101" s="173"/>
      <c r="G101" s="173"/>
      <c r="H101" s="173"/>
      <c r="Y101" s="248"/>
      <c r="Z101" s="248"/>
      <c r="AA101" s="248"/>
    </row>
    <row r="102" ht="14.25" customHeight="1">
      <c r="F102" s="173"/>
      <c r="G102" s="173"/>
      <c r="H102" s="173"/>
      <c r="Y102" s="248"/>
      <c r="Z102" s="248"/>
      <c r="AA102" s="248"/>
    </row>
    <row r="103" ht="14.25" customHeight="1">
      <c r="F103" s="173"/>
      <c r="G103" s="173"/>
      <c r="H103" s="173"/>
      <c r="Y103" s="248"/>
      <c r="Z103" s="248"/>
      <c r="AA103" s="248"/>
    </row>
    <row r="104" ht="14.25" customHeight="1">
      <c r="F104" s="173"/>
      <c r="G104" s="173"/>
      <c r="H104" s="173"/>
      <c r="Y104" s="248"/>
      <c r="Z104" s="248"/>
      <c r="AA104" s="248"/>
    </row>
    <row r="105" ht="14.25" customHeight="1">
      <c r="F105" s="173"/>
      <c r="G105" s="173"/>
      <c r="H105" s="173"/>
      <c r="Y105" s="248"/>
      <c r="Z105" s="248"/>
      <c r="AA105" s="248"/>
    </row>
    <row r="106" ht="14.25" customHeight="1">
      <c r="F106" s="173"/>
      <c r="G106" s="173"/>
      <c r="H106" s="173"/>
      <c r="Y106" s="248"/>
      <c r="Z106" s="248"/>
      <c r="AA106" s="248"/>
    </row>
    <row r="107" ht="14.25" customHeight="1">
      <c r="F107" s="173"/>
      <c r="G107" s="173"/>
      <c r="H107" s="173"/>
      <c r="Y107" s="248"/>
      <c r="Z107" s="248"/>
      <c r="AA107" s="248"/>
    </row>
    <row r="108" ht="14.25" customHeight="1">
      <c r="F108" s="173"/>
      <c r="G108" s="173"/>
      <c r="H108" s="173"/>
      <c r="Y108" s="248"/>
      <c r="Z108" s="248"/>
      <c r="AA108" s="248"/>
    </row>
    <row r="109" ht="14.25" customHeight="1">
      <c r="F109" s="173"/>
      <c r="G109" s="173"/>
      <c r="H109" s="173"/>
      <c r="Y109" s="248"/>
      <c r="Z109" s="248"/>
      <c r="AA109" s="248"/>
    </row>
    <row r="110" ht="14.25" customHeight="1">
      <c r="F110" s="173"/>
      <c r="G110" s="173"/>
      <c r="H110" s="173"/>
      <c r="Y110" s="248"/>
      <c r="Z110" s="248"/>
      <c r="AA110" s="248"/>
    </row>
    <row r="111" ht="14.25" customHeight="1">
      <c r="F111" s="173"/>
      <c r="G111" s="173"/>
      <c r="H111" s="173"/>
      <c r="Y111" s="248"/>
      <c r="Z111" s="248"/>
      <c r="AA111" s="248"/>
    </row>
    <row r="112" ht="14.25" customHeight="1">
      <c r="F112" s="173"/>
      <c r="G112" s="173"/>
      <c r="H112" s="173"/>
      <c r="Y112" s="248"/>
      <c r="Z112" s="248"/>
      <c r="AA112" s="248"/>
    </row>
    <row r="113" ht="14.25" customHeight="1">
      <c r="F113" s="173"/>
      <c r="G113" s="173"/>
      <c r="H113" s="173"/>
      <c r="Y113" s="248"/>
      <c r="Z113" s="248"/>
      <c r="AA113" s="248"/>
    </row>
    <row r="114" ht="14.25" customHeight="1">
      <c r="F114" s="173"/>
      <c r="G114" s="173"/>
      <c r="H114" s="173"/>
      <c r="Y114" s="248"/>
      <c r="Z114" s="248"/>
      <c r="AA114" s="248"/>
    </row>
    <row r="115" ht="14.25" customHeight="1">
      <c r="F115" s="173"/>
      <c r="G115" s="173"/>
      <c r="H115" s="173"/>
      <c r="Y115" s="248"/>
      <c r="Z115" s="248"/>
      <c r="AA115" s="248"/>
    </row>
    <row r="116" ht="14.25" customHeight="1">
      <c r="F116" s="173"/>
      <c r="G116" s="173"/>
      <c r="H116" s="173"/>
      <c r="Y116" s="248"/>
      <c r="Z116" s="248"/>
      <c r="AA116" s="248"/>
    </row>
    <row r="117" ht="14.25" customHeight="1">
      <c r="F117" s="173"/>
      <c r="G117" s="173"/>
      <c r="H117" s="173"/>
      <c r="Y117" s="248"/>
      <c r="Z117" s="248"/>
      <c r="AA117" s="248"/>
    </row>
    <row r="118" ht="14.25" customHeight="1">
      <c r="F118" s="173"/>
      <c r="G118" s="173"/>
      <c r="H118" s="173"/>
      <c r="Y118" s="248"/>
      <c r="Z118" s="248"/>
      <c r="AA118" s="248"/>
    </row>
    <row r="119" ht="14.25" customHeight="1">
      <c r="F119" s="173"/>
      <c r="G119" s="173"/>
      <c r="H119" s="173"/>
      <c r="Y119" s="248"/>
      <c r="Z119" s="248"/>
      <c r="AA119" s="248"/>
    </row>
    <row r="120" ht="14.25" customHeight="1">
      <c r="F120" s="173"/>
      <c r="G120" s="173"/>
      <c r="H120" s="173"/>
      <c r="Y120" s="248"/>
      <c r="Z120" s="248"/>
      <c r="AA120" s="248"/>
    </row>
    <row r="121" ht="14.25" customHeight="1">
      <c r="F121" s="173"/>
      <c r="G121" s="173"/>
      <c r="H121" s="173"/>
      <c r="Y121" s="248"/>
      <c r="Z121" s="248"/>
      <c r="AA121" s="248"/>
    </row>
    <row r="122" ht="14.25" customHeight="1">
      <c r="F122" s="173"/>
      <c r="G122" s="173"/>
      <c r="H122" s="173"/>
      <c r="Y122" s="248"/>
      <c r="Z122" s="248"/>
      <c r="AA122" s="248"/>
    </row>
    <row r="123" ht="14.25" customHeight="1">
      <c r="F123" s="173"/>
      <c r="G123" s="173"/>
      <c r="H123" s="173"/>
      <c r="Y123" s="248"/>
      <c r="Z123" s="248"/>
      <c r="AA123" s="248"/>
    </row>
    <row r="124" ht="14.25" customHeight="1">
      <c r="F124" s="173"/>
      <c r="G124" s="173"/>
      <c r="H124" s="173"/>
      <c r="Y124" s="248"/>
      <c r="Z124" s="248"/>
      <c r="AA124" s="248"/>
    </row>
    <row r="125" ht="14.25" customHeight="1">
      <c r="F125" s="173"/>
      <c r="G125" s="173"/>
      <c r="H125" s="173"/>
      <c r="Y125" s="248"/>
      <c r="Z125" s="248"/>
      <c r="AA125" s="248"/>
    </row>
    <row r="126" ht="14.25" customHeight="1">
      <c r="F126" s="173"/>
      <c r="G126" s="173"/>
      <c r="H126" s="173"/>
      <c r="Y126" s="248"/>
      <c r="Z126" s="248"/>
      <c r="AA126" s="248"/>
    </row>
    <row r="127" ht="14.25" customHeight="1">
      <c r="F127" s="173"/>
      <c r="G127" s="173"/>
      <c r="H127" s="173"/>
      <c r="Y127" s="248"/>
      <c r="Z127" s="248"/>
      <c r="AA127" s="248"/>
    </row>
    <row r="128" ht="14.25" customHeight="1">
      <c r="F128" s="173"/>
      <c r="G128" s="173"/>
      <c r="H128" s="173"/>
      <c r="Y128" s="248"/>
      <c r="Z128" s="248"/>
      <c r="AA128" s="248"/>
    </row>
    <row r="129" ht="14.25" customHeight="1">
      <c r="F129" s="173"/>
      <c r="G129" s="173"/>
      <c r="H129" s="173"/>
      <c r="Y129" s="248"/>
      <c r="Z129" s="248"/>
      <c r="AA129" s="248"/>
    </row>
    <row r="130" ht="14.25" customHeight="1">
      <c r="F130" s="173"/>
      <c r="G130" s="173"/>
      <c r="H130" s="173"/>
      <c r="Y130" s="248"/>
      <c r="Z130" s="248"/>
      <c r="AA130" s="248"/>
    </row>
    <row r="131" ht="14.25" customHeight="1">
      <c r="F131" s="173"/>
      <c r="G131" s="173"/>
      <c r="H131" s="173"/>
      <c r="Y131" s="248"/>
      <c r="Z131" s="248"/>
      <c r="AA131" s="248"/>
    </row>
    <row r="132" ht="14.25" customHeight="1">
      <c r="F132" s="173"/>
      <c r="G132" s="173"/>
      <c r="H132" s="173"/>
      <c r="Y132" s="248"/>
      <c r="Z132" s="248"/>
      <c r="AA132" s="248"/>
    </row>
    <row r="133" ht="14.25" customHeight="1">
      <c r="F133" s="173"/>
      <c r="G133" s="173"/>
      <c r="H133" s="173"/>
      <c r="Y133" s="248"/>
      <c r="Z133" s="248"/>
      <c r="AA133" s="248"/>
    </row>
    <row r="134" ht="14.25" customHeight="1">
      <c r="F134" s="173"/>
      <c r="G134" s="173"/>
      <c r="H134" s="173"/>
      <c r="Y134" s="248"/>
      <c r="Z134" s="248"/>
      <c r="AA134" s="248"/>
    </row>
    <row r="135" ht="14.25" customHeight="1">
      <c r="F135" s="173"/>
      <c r="G135" s="173"/>
      <c r="H135" s="173"/>
      <c r="Y135" s="248"/>
      <c r="Z135" s="248"/>
      <c r="AA135" s="248"/>
    </row>
    <row r="136" ht="14.25" customHeight="1">
      <c r="F136" s="173"/>
      <c r="G136" s="173"/>
      <c r="H136" s="173"/>
      <c r="Y136" s="248"/>
      <c r="Z136" s="248"/>
      <c r="AA136" s="248"/>
    </row>
    <row r="137" ht="14.25" customHeight="1">
      <c r="F137" s="173"/>
      <c r="G137" s="173"/>
      <c r="H137" s="173"/>
      <c r="Y137" s="248"/>
      <c r="Z137" s="248"/>
      <c r="AA137" s="248"/>
    </row>
    <row r="138" ht="14.25" customHeight="1">
      <c r="F138" s="173"/>
      <c r="G138" s="173"/>
      <c r="H138" s="173"/>
      <c r="Y138" s="248"/>
      <c r="Z138" s="248"/>
      <c r="AA138" s="248"/>
    </row>
    <row r="139" ht="14.25" customHeight="1">
      <c r="F139" s="173"/>
      <c r="G139" s="173"/>
      <c r="H139" s="173"/>
      <c r="Y139" s="248"/>
      <c r="Z139" s="248"/>
      <c r="AA139" s="248"/>
    </row>
    <row r="140" ht="14.25" customHeight="1">
      <c r="F140" s="173"/>
      <c r="G140" s="173"/>
      <c r="H140" s="173"/>
      <c r="Y140" s="248"/>
      <c r="Z140" s="248"/>
      <c r="AA140" s="248"/>
    </row>
    <row r="141" ht="14.25" customHeight="1">
      <c r="F141" s="173"/>
      <c r="G141" s="173"/>
      <c r="H141" s="173"/>
      <c r="Y141" s="248"/>
      <c r="Z141" s="248"/>
      <c r="AA141" s="248"/>
    </row>
    <row r="142" ht="14.25" customHeight="1">
      <c r="F142" s="173"/>
      <c r="G142" s="173"/>
      <c r="H142" s="173"/>
      <c r="Y142" s="248"/>
      <c r="Z142" s="248"/>
      <c r="AA142" s="248"/>
    </row>
    <row r="143" ht="14.25" customHeight="1">
      <c r="F143" s="173"/>
      <c r="G143" s="173"/>
      <c r="H143" s="173"/>
      <c r="Y143" s="248"/>
      <c r="Z143" s="248"/>
      <c r="AA143" s="248"/>
    </row>
    <row r="144" ht="14.25" customHeight="1">
      <c r="F144" s="173"/>
      <c r="G144" s="173"/>
      <c r="H144" s="173"/>
      <c r="Y144" s="248"/>
      <c r="Z144" s="248"/>
      <c r="AA144" s="248"/>
    </row>
    <row r="145" ht="14.25" customHeight="1">
      <c r="F145" s="173"/>
      <c r="G145" s="173"/>
      <c r="H145" s="173"/>
      <c r="Y145" s="248"/>
      <c r="Z145" s="248"/>
      <c r="AA145" s="248"/>
    </row>
    <row r="146" ht="14.25" customHeight="1">
      <c r="F146" s="173"/>
      <c r="G146" s="173"/>
      <c r="H146" s="173"/>
      <c r="Y146" s="248"/>
      <c r="Z146" s="248"/>
      <c r="AA146" s="248"/>
    </row>
    <row r="147" ht="14.25" customHeight="1">
      <c r="F147" s="173"/>
      <c r="G147" s="173"/>
      <c r="H147" s="173"/>
      <c r="Y147" s="248"/>
      <c r="Z147" s="248"/>
      <c r="AA147" s="248"/>
    </row>
    <row r="148" ht="14.25" customHeight="1">
      <c r="F148" s="173"/>
      <c r="G148" s="173"/>
      <c r="H148" s="173"/>
      <c r="Y148" s="248"/>
      <c r="Z148" s="248"/>
      <c r="AA148" s="248"/>
    </row>
    <row r="149" ht="14.25" customHeight="1">
      <c r="F149" s="173"/>
      <c r="G149" s="173"/>
      <c r="H149" s="173"/>
      <c r="Y149" s="248"/>
      <c r="Z149" s="248"/>
      <c r="AA149" s="248"/>
    </row>
    <row r="150" ht="14.25" customHeight="1">
      <c r="F150" s="173"/>
      <c r="G150" s="173"/>
      <c r="H150" s="173"/>
      <c r="Y150" s="248"/>
      <c r="Z150" s="248"/>
      <c r="AA150" s="248"/>
    </row>
    <row r="151" ht="14.25" customHeight="1">
      <c r="F151" s="173"/>
      <c r="G151" s="173"/>
      <c r="H151" s="173"/>
      <c r="Y151" s="248"/>
      <c r="Z151" s="248"/>
      <c r="AA151" s="248"/>
    </row>
    <row r="152" ht="14.25" customHeight="1">
      <c r="F152" s="173"/>
      <c r="G152" s="173"/>
      <c r="H152" s="173"/>
      <c r="Y152" s="248"/>
      <c r="Z152" s="248"/>
      <c r="AA152" s="248"/>
    </row>
    <row r="153" ht="14.25" customHeight="1">
      <c r="F153" s="173"/>
      <c r="G153" s="173"/>
      <c r="H153" s="173"/>
      <c r="Y153" s="248"/>
      <c r="Z153" s="248"/>
      <c r="AA153" s="248"/>
    </row>
    <row r="154" ht="14.25" customHeight="1">
      <c r="F154" s="173"/>
      <c r="G154" s="173"/>
      <c r="H154" s="173"/>
      <c r="Y154" s="248"/>
      <c r="Z154" s="248"/>
      <c r="AA154" s="248"/>
    </row>
    <row r="155" ht="14.25" customHeight="1">
      <c r="F155" s="173"/>
      <c r="G155" s="173"/>
      <c r="H155" s="173"/>
      <c r="Y155" s="248"/>
      <c r="Z155" s="248"/>
      <c r="AA155" s="248"/>
    </row>
    <row r="156" ht="14.25" customHeight="1">
      <c r="F156" s="173"/>
      <c r="G156" s="173"/>
      <c r="H156" s="173"/>
      <c r="Y156" s="248"/>
      <c r="Z156" s="248"/>
      <c r="AA156" s="248"/>
    </row>
    <row r="157" ht="14.25" customHeight="1">
      <c r="F157" s="173"/>
      <c r="G157" s="173"/>
      <c r="H157" s="173"/>
      <c r="Y157" s="248"/>
      <c r="Z157" s="248"/>
      <c r="AA157" s="248"/>
    </row>
    <row r="158" ht="14.25" customHeight="1">
      <c r="F158" s="173"/>
      <c r="G158" s="173"/>
      <c r="H158" s="173"/>
      <c r="Y158" s="248"/>
      <c r="Z158" s="248"/>
      <c r="AA158" s="248"/>
    </row>
    <row r="159" ht="14.25" customHeight="1">
      <c r="F159" s="173"/>
      <c r="G159" s="173"/>
      <c r="H159" s="173"/>
      <c r="Y159" s="248"/>
      <c r="Z159" s="248"/>
      <c r="AA159" s="248"/>
    </row>
    <row r="160" ht="14.25" customHeight="1">
      <c r="F160" s="173"/>
      <c r="G160" s="173"/>
      <c r="H160" s="173"/>
      <c r="Y160" s="248"/>
      <c r="Z160" s="248"/>
      <c r="AA160" s="248"/>
    </row>
    <row r="161" ht="14.25" customHeight="1">
      <c r="F161" s="173"/>
      <c r="G161" s="173"/>
      <c r="H161" s="173"/>
      <c r="Y161" s="248"/>
      <c r="Z161" s="248"/>
      <c r="AA161" s="248"/>
    </row>
    <row r="162" ht="14.25" customHeight="1">
      <c r="F162" s="173"/>
      <c r="G162" s="173"/>
      <c r="H162" s="173"/>
      <c r="Y162" s="248"/>
      <c r="Z162" s="248"/>
      <c r="AA162" s="248"/>
    </row>
    <row r="163" ht="14.25" customHeight="1">
      <c r="F163" s="173"/>
      <c r="G163" s="173"/>
      <c r="H163" s="173"/>
      <c r="Y163" s="248"/>
      <c r="Z163" s="248"/>
      <c r="AA163" s="248"/>
    </row>
    <row r="164" ht="14.25" customHeight="1">
      <c r="F164" s="173"/>
      <c r="G164" s="173"/>
      <c r="H164" s="173"/>
      <c r="Y164" s="248"/>
      <c r="Z164" s="248"/>
      <c r="AA164" s="248"/>
    </row>
    <row r="165" ht="14.25" customHeight="1">
      <c r="F165" s="173"/>
      <c r="G165" s="173"/>
      <c r="H165" s="173"/>
      <c r="Y165" s="248"/>
      <c r="Z165" s="248"/>
      <c r="AA165" s="248"/>
    </row>
    <row r="166" ht="14.25" customHeight="1">
      <c r="F166" s="173"/>
      <c r="G166" s="173"/>
      <c r="H166" s="173"/>
      <c r="Y166" s="248"/>
      <c r="Z166" s="248"/>
      <c r="AA166" s="248"/>
    </row>
    <row r="167" ht="14.25" customHeight="1">
      <c r="F167" s="173"/>
      <c r="G167" s="173"/>
      <c r="H167" s="173"/>
      <c r="Y167" s="248"/>
      <c r="Z167" s="248"/>
      <c r="AA167" s="248"/>
    </row>
    <row r="168" ht="14.25" customHeight="1">
      <c r="F168" s="173"/>
      <c r="G168" s="173"/>
      <c r="H168" s="173"/>
      <c r="Y168" s="248"/>
      <c r="Z168" s="248"/>
      <c r="AA168" s="248"/>
    </row>
    <row r="169" ht="14.25" customHeight="1">
      <c r="F169" s="173"/>
      <c r="G169" s="173"/>
      <c r="H169" s="173"/>
      <c r="Y169" s="248"/>
      <c r="Z169" s="248"/>
      <c r="AA169" s="248"/>
    </row>
    <row r="170" ht="14.25" customHeight="1">
      <c r="F170" s="173"/>
      <c r="G170" s="173"/>
      <c r="H170" s="173"/>
      <c r="Y170" s="248"/>
      <c r="Z170" s="248"/>
      <c r="AA170" s="248"/>
    </row>
    <row r="171" ht="14.25" customHeight="1">
      <c r="F171" s="173"/>
      <c r="G171" s="173"/>
      <c r="H171" s="173"/>
      <c r="Y171" s="248"/>
      <c r="Z171" s="248"/>
      <c r="AA171" s="248"/>
    </row>
    <row r="172" ht="14.25" customHeight="1">
      <c r="F172" s="173"/>
      <c r="G172" s="173"/>
      <c r="H172" s="173"/>
      <c r="Y172" s="248"/>
      <c r="Z172" s="248"/>
      <c r="AA172" s="248"/>
    </row>
    <row r="173" ht="14.25" customHeight="1">
      <c r="F173" s="173"/>
      <c r="G173" s="173"/>
      <c r="H173" s="173"/>
      <c r="Y173" s="248"/>
      <c r="Z173" s="248"/>
      <c r="AA173" s="248"/>
    </row>
    <row r="174" ht="14.25" customHeight="1">
      <c r="F174" s="173"/>
      <c r="G174" s="173"/>
      <c r="H174" s="173"/>
      <c r="Y174" s="248"/>
      <c r="Z174" s="248"/>
      <c r="AA174" s="248"/>
    </row>
    <row r="175" ht="14.25" customHeight="1">
      <c r="F175" s="173"/>
      <c r="G175" s="173"/>
      <c r="H175" s="173"/>
      <c r="Y175" s="248"/>
      <c r="Z175" s="248"/>
      <c r="AA175" s="248"/>
    </row>
    <row r="176" ht="14.25" customHeight="1">
      <c r="F176" s="173"/>
      <c r="G176" s="173"/>
      <c r="H176" s="173"/>
      <c r="Y176" s="248"/>
      <c r="Z176" s="248"/>
      <c r="AA176" s="248"/>
    </row>
    <row r="177" ht="14.25" customHeight="1">
      <c r="F177" s="173"/>
      <c r="G177" s="173"/>
      <c r="H177" s="173"/>
      <c r="Y177" s="248"/>
      <c r="Z177" s="248"/>
      <c r="AA177" s="248"/>
    </row>
    <row r="178" ht="14.25" customHeight="1">
      <c r="F178" s="173"/>
      <c r="G178" s="173"/>
      <c r="H178" s="173"/>
      <c r="Y178" s="248"/>
      <c r="Z178" s="248"/>
      <c r="AA178" s="248"/>
    </row>
    <row r="179" ht="14.25" customHeight="1">
      <c r="F179" s="173"/>
      <c r="G179" s="173"/>
      <c r="H179" s="173"/>
      <c r="Y179" s="248"/>
      <c r="Z179" s="248"/>
      <c r="AA179" s="248"/>
    </row>
    <row r="180" ht="14.25" customHeight="1">
      <c r="F180" s="173"/>
      <c r="G180" s="173"/>
      <c r="H180" s="173"/>
      <c r="Y180" s="248"/>
      <c r="Z180" s="248"/>
      <c r="AA180" s="248"/>
    </row>
    <row r="181" ht="14.25" customHeight="1">
      <c r="F181" s="173"/>
      <c r="G181" s="173"/>
      <c r="H181" s="173"/>
      <c r="Y181" s="248"/>
      <c r="Z181" s="248"/>
      <c r="AA181" s="248"/>
    </row>
    <row r="182" ht="14.25" customHeight="1">
      <c r="F182" s="173"/>
      <c r="G182" s="173"/>
      <c r="H182" s="173"/>
      <c r="Y182" s="248"/>
      <c r="Z182" s="248"/>
      <c r="AA182" s="248"/>
    </row>
    <row r="183" ht="14.25" customHeight="1">
      <c r="F183" s="173"/>
      <c r="G183" s="173"/>
      <c r="H183" s="173"/>
      <c r="Y183" s="248"/>
      <c r="Z183" s="248"/>
      <c r="AA183" s="248"/>
    </row>
    <row r="184" ht="14.25" customHeight="1">
      <c r="F184" s="173"/>
      <c r="G184" s="173"/>
      <c r="H184" s="173"/>
      <c r="Y184" s="248"/>
      <c r="Z184" s="248"/>
      <c r="AA184" s="248"/>
    </row>
    <row r="185" ht="14.25" customHeight="1">
      <c r="F185" s="173"/>
      <c r="G185" s="173"/>
      <c r="H185" s="173"/>
      <c r="Y185" s="248"/>
      <c r="Z185" s="248"/>
      <c r="AA185" s="248"/>
    </row>
    <row r="186" ht="14.25" customHeight="1">
      <c r="F186" s="173"/>
      <c r="G186" s="173"/>
      <c r="H186" s="173"/>
      <c r="Y186" s="248"/>
      <c r="Z186" s="248"/>
      <c r="AA186" s="248"/>
    </row>
    <row r="187" ht="14.25" customHeight="1">
      <c r="F187" s="173"/>
      <c r="G187" s="173"/>
      <c r="H187" s="173"/>
      <c r="Y187" s="248"/>
      <c r="Z187" s="248"/>
      <c r="AA187" s="248"/>
    </row>
    <row r="188" ht="14.25" customHeight="1">
      <c r="F188" s="173"/>
      <c r="G188" s="173"/>
      <c r="H188" s="173"/>
      <c r="Y188" s="248"/>
      <c r="Z188" s="248"/>
      <c r="AA188" s="248"/>
    </row>
    <row r="189" ht="14.25" customHeight="1">
      <c r="F189" s="173"/>
      <c r="G189" s="173"/>
      <c r="H189" s="173"/>
      <c r="Y189" s="248"/>
      <c r="Z189" s="248"/>
      <c r="AA189" s="248"/>
    </row>
    <row r="190" ht="14.25" customHeight="1">
      <c r="F190" s="173"/>
      <c r="G190" s="173"/>
      <c r="H190" s="173"/>
      <c r="Y190" s="248"/>
      <c r="Z190" s="248"/>
      <c r="AA190" s="248"/>
    </row>
    <row r="191" ht="14.25" customHeight="1">
      <c r="F191" s="173"/>
      <c r="G191" s="173"/>
      <c r="H191" s="173"/>
      <c r="Y191" s="248"/>
      <c r="Z191" s="248"/>
      <c r="AA191" s="248"/>
    </row>
    <row r="192" ht="14.25" customHeight="1">
      <c r="F192" s="173"/>
      <c r="G192" s="173"/>
      <c r="H192" s="173"/>
      <c r="Y192" s="248"/>
      <c r="Z192" s="248"/>
      <c r="AA192" s="248"/>
    </row>
    <row r="193" ht="14.25" customHeight="1">
      <c r="F193" s="173"/>
      <c r="G193" s="173"/>
      <c r="H193" s="173"/>
      <c r="Y193" s="248"/>
      <c r="Z193" s="248"/>
      <c r="AA193" s="248"/>
    </row>
    <row r="194" ht="14.25" customHeight="1">
      <c r="F194" s="173"/>
      <c r="G194" s="173"/>
      <c r="H194" s="173"/>
      <c r="Y194" s="248"/>
      <c r="Z194" s="248"/>
      <c r="AA194" s="248"/>
    </row>
    <row r="195" ht="14.25" customHeight="1">
      <c r="F195" s="173"/>
      <c r="G195" s="173"/>
      <c r="H195" s="173"/>
      <c r="Y195" s="248"/>
      <c r="Z195" s="248"/>
      <c r="AA195" s="248"/>
    </row>
    <row r="196" ht="14.25" customHeight="1">
      <c r="F196" s="173"/>
      <c r="G196" s="173"/>
      <c r="H196" s="173"/>
      <c r="Y196" s="248"/>
      <c r="Z196" s="248"/>
      <c r="AA196" s="248"/>
    </row>
    <row r="197" ht="14.25" customHeight="1">
      <c r="F197" s="173"/>
      <c r="G197" s="173"/>
      <c r="H197" s="173"/>
      <c r="Y197" s="248"/>
      <c r="Z197" s="248"/>
      <c r="AA197" s="248"/>
    </row>
    <row r="198" ht="14.25" customHeight="1">
      <c r="F198" s="173"/>
      <c r="G198" s="173"/>
      <c r="H198" s="173"/>
      <c r="Y198" s="248"/>
      <c r="Z198" s="248"/>
      <c r="AA198" s="248"/>
    </row>
    <row r="199" ht="14.25" customHeight="1">
      <c r="F199" s="173"/>
      <c r="G199" s="173"/>
      <c r="H199" s="173"/>
      <c r="Y199" s="248"/>
      <c r="Z199" s="248"/>
      <c r="AA199" s="248"/>
    </row>
    <row r="200" ht="14.25" customHeight="1">
      <c r="F200" s="173"/>
      <c r="G200" s="173"/>
      <c r="H200" s="173"/>
      <c r="Y200" s="248"/>
      <c r="Z200" s="248"/>
      <c r="AA200" s="248"/>
    </row>
    <row r="201" ht="14.25" customHeight="1">
      <c r="F201" s="173"/>
      <c r="G201" s="173"/>
      <c r="H201" s="173"/>
      <c r="Y201" s="248"/>
      <c r="Z201" s="248"/>
      <c r="AA201" s="248"/>
    </row>
    <row r="202" ht="14.25" customHeight="1">
      <c r="F202" s="173"/>
      <c r="G202" s="173"/>
      <c r="H202" s="173"/>
      <c r="Y202" s="248"/>
      <c r="Z202" s="248"/>
      <c r="AA202" s="248"/>
    </row>
    <row r="203" ht="14.25" customHeight="1">
      <c r="F203" s="173"/>
      <c r="G203" s="173"/>
      <c r="H203" s="173"/>
      <c r="Y203" s="248"/>
      <c r="Z203" s="248"/>
      <c r="AA203" s="248"/>
    </row>
    <row r="204" ht="14.25" customHeight="1">
      <c r="F204" s="173"/>
      <c r="G204" s="173"/>
      <c r="H204" s="173"/>
      <c r="Y204" s="248"/>
      <c r="Z204" s="248"/>
      <c r="AA204" s="248"/>
    </row>
    <row r="205" ht="14.25" customHeight="1">
      <c r="F205" s="173"/>
      <c r="G205" s="173"/>
      <c r="H205" s="173"/>
      <c r="Y205" s="248"/>
      <c r="Z205" s="248"/>
      <c r="AA205" s="248"/>
    </row>
    <row r="206" ht="14.25" customHeight="1">
      <c r="F206" s="173"/>
      <c r="G206" s="173"/>
      <c r="H206" s="173"/>
      <c r="Y206" s="248"/>
      <c r="Z206" s="248"/>
      <c r="AA206" s="248"/>
    </row>
    <row r="207" ht="14.25" customHeight="1">
      <c r="F207" s="173"/>
      <c r="G207" s="173"/>
      <c r="H207" s="173"/>
      <c r="Y207" s="248"/>
      <c r="Z207" s="248"/>
      <c r="AA207" s="248"/>
    </row>
    <row r="208" ht="14.25" customHeight="1">
      <c r="F208" s="173"/>
      <c r="G208" s="173"/>
      <c r="H208" s="173"/>
      <c r="Y208" s="248"/>
      <c r="Z208" s="248"/>
      <c r="AA208" s="248"/>
    </row>
    <row r="209" ht="14.25" customHeight="1">
      <c r="F209" s="173"/>
      <c r="G209" s="173"/>
      <c r="H209" s="173"/>
      <c r="Y209" s="248"/>
      <c r="Z209" s="248"/>
      <c r="AA209" s="248"/>
    </row>
    <row r="210" ht="14.25" customHeight="1">
      <c r="F210" s="173"/>
      <c r="G210" s="173"/>
      <c r="H210" s="173"/>
      <c r="Y210" s="248"/>
      <c r="Z210" s="248"/>
      <c r="AA210" s="248"/>
    </row>
    <row r="211" ht="14.25" customHeight="1">
      <c r="F211" s="173"/>
      <c r="G211" s="173"/>
      <c r="H211" s="173"/>
      <c r="Y211" s="248"/>
      <c r="Z211" s="248"/>
      <c r="AA211" s="248"/>
    </row>
    <row r="212" ht="14.25" customHeight="1">
      <c r="F212" s="173"/>
      <c r="G212" s="173"/>
      <c r="H212" s="173"/>
      <c r="Y212" s="248"/>
      <c r="Z212" s="248"/>
      <c r="AA212" s="248"/>
    </row>
    <row r="213" ht="14.25" customHeight="1">
      <c r="F213" s="173"/>
      <c r="G213" s="173"/>
      <c r="H213" s="173"/>
      <c r="Y213" s="248"/>
      <c r="Z213" s="248"/>
      <c r="AA213" s="248"/>
    </row>
    <row r="214" ht="14.25" customHeight="1">
      <c r="F214" s="173"/>
      <c r="G214" s="173"/>
      <c r="H214" s="173"/>
      <c r="Y214" s="248"/>
      <c r="Z214" s="248"/>
      <c r="AA214" s="248"/>
    </row>
    <row r="215" ht="14.25" customHeight="1">
      <c r="F215" s="173"/>
      <c r="G215" s="173"/>
      <c r="H215" s="173"/>
      <c r="Y215" s="248"/>
      <c r="Z215" s="248"/>
      <c r="AA215" s="248"/>
    </row>
    <row r="216" ht="14.25" customHeight="1">
      <c r="F216" s="173"/>
      <c r="G216" s="173"/>
      <c r="H216" s="173"/>
      <c r="Y216" s="248"/>
      <c r="Z216" s="248"/>
      <c r="AA216" s="248"/>
    </row>
    <row r="217" ht="14.25" customHeight="1">
      <c r="F217" s="173"/>
      <c r="G217" s="173"/>
      <c r="H217" s="173"/>
      <c r="Y217" s="248"/>
      <c r="Z217" s="248"/>
      <c r="AA217" s="248"/>
    </row>
    <row r="218" ht="14.25" customHeight="1">
      <c r="F218" s="173"/>
      <c r="G218" s="173"/>
      <c r="H218" s="173"/>
      <c r="Y218" s="248"/>
      <c r="Z218" s="248"/>
      <c r="AA218" s="248"/>
    </row>
    <row r="219" ht="14.25" customHeight="1">
      <c r="F219" s="173"/>
      <c r="G219" s="173"/>
      <c r="H219" s="173"/>
      <c r="Y219" s="248"/>
      <c r="Z219" s="248"/>
      <c r="AA219" s="248"/>
    </row>
    <row r="220" ht="14.25" customHeight="1">
      <c r="F220" s="173"/>
      <c r="G220" s="173"/>
      <c r="H220" s="173"/>
      <c r="Y220" s="248"/>
      <c r="Z220" s="248"/>
      <c r="AA220" s="248"/>
    </row>
    <row r="221" ht="14.25" customHeight="1">
      <c r="F221" s="173"/>
      <c r="G221" s="173"/>
      <c r="H221" s="173"/>
      <c r="Y221" s="248"/>
      <c r="Z221" s="248"/>
      <c r="AA221" s="248"/>
    </row>
    <row r="222" ht="14.25" customHeight="1">
      <c r="F222" s="173"/>
      <c r="G222" s="173"/>
      <c r="H222" s="173"/>
      <c r="Y222" s="248"/>
      <c r="Z222" s="248"/>
      <c r="AA222" s="248"/>
    </row>
    <row r="223" ht="14.25" customHeight="1">
      <c r="F223" s="173"/>
      <c r="G223" s="173"/>
      <c r="H223" s="173"/>
      <c r="Y223" s="248"/>
      <c r="Z223" s="248"/>
      <c r="AA223" s="248"/>
    </row>
    <row r="224" ht="14.25" customHeight="1">
      <c r="F224" s="173"/>
      <c r="G224" s="173"/>
      <c r="H224" s="173"/>
      <c r="Y224" s="248"/>
      <c r="Z224" s="248"/>
      <c r="AA224" s="248"/>
    </row>
    <row r="225" ht="14.25" customHeight="1">
      <c r="F225" s="173"/>
      <c r="G225" s="173"/>
      <c r="H225" s="173"/>
      <c r="Y225" s="248"/>
      <c r="Z225" s="248"/>
      <c r="AA225" s="248"/>
    </row>
    <row r="226" ht="14.25" customHeight="1">
      <c r="F226" s="173"/>
      <c r="G226" s="173"/>
      <c r="H226" s="173"/>
      <c r="Y226" s="248"/>
      <c r="Z226" s="248"/>
      <c r="AA226" s="248"/>
    </row>
    <row r="227" ht="14.25" customHeight="1">
      <c r="F227" s="173"/>
      <c r="G227" s="173"/>
      <c r="H227" s="173"/>
      <c r="Y227" s="248"/>
      <c r="Z227" s="248"/>
      <c r="AA227" s="248"/>
    </row>
    <row r="228" ht="14.25" customHeight="1">
      <c r="F228" s="173"/>
      <c r="G228" s="173"/>
      <c r="H228" s="173"/>
      <c r="Y228" s="248"/>
      <c r="Z228" s="248"/>
      <c r="AA228" s="248"/>
    </row>
    <row r="229" ht="14.25" customHeight="1">
      <c r="F229" s="173"/>
      <c r="G229" s="173"/>
      <c r="H229" s="173"/>
      <c r="Y229" s="248"/>
      <c r="Z229" s="248"/>
      <c r="AA229" s="248"/>
    </row>
    <row r="230" ht="14.25" customHeight="1">
      <c r="F230" s="173"/>
      <c r="G230" s="173"/>
      <c r="H230" s="173"/>
      <c r="Y230" s="248"/>
      <c r="Z230" s="248"/>
      <c r="AA230" s="248"/>
    </row>
    <row r="231" ht="14.25" customHeight="1">
      <c r="F231" s="173"/>
      <c r="G231" s="173"/>
      <c r="H231" s="173"/>
      <c r="Y231" s="248"/>
      <c r="Z231" s="248"/>
      <c r="AA231" s="248"/>
    </row>
    <row r="232" ht="14.25" customHeight="1">
      <c r="F232" s="173"/>
      <c r="G232" s="173"/>
      <c r="H232" s="173"/>
      <c r="Y232" s="248"/>
      <c r="Z232" s="248"/>
      <c r="AA232" s="248"/>
    </row>
    <row r="233" ht="14.25" customHeight="1">
      <c r="F233" s="173"/>
      <c r="G233" s="173"/>
      <c r="H233" s="173"/>
      <c r="Y233" s="248"/>
      <c r="Z233" s="248"/>
      <c r="AA233" s="248"/>
    </row>
    <row r="234" ht="14.25" customHeight="1">
      <c r="F234" s="173"/>
      <c r="G234" s="173"/>
      <c r="H234" s="173"/>
      <c r="Y234" s="248"/>
      <c r="Z234" s="248"/>
      <c r="AA234" s="248"/>
    </row>
    <row r="235" ht="14.25" customHeight="1">
      <c r="F235" s="173"/>
      <c r="G235" s="173"/>
      <c r="H235" s="173"/>
      <c r="Y235" s="248"/>
      <c r="Z235" s="248"/>
      <c r="AA235" s="248"/>
    </row>
    <row r="236" ht="14.25" customHeight="1">
      <c r="F236" s="173"/>
      <c r="G236" s="173"/>
      <c r="H236" s="173"/>
      <c r="Y236" s="248"/>
      <c r="Z236" s="248"/>
      <c r="AA236" s="248"/>
    </row>
    <row r="237" ht="14.25" customHeight="1">
      <c r="F237" s="173"/>
      <c r="G237" s="173"/>
      <c r="H237" s="173"/>
      <c r="Y237" s="248"/>
      <c r="Z237" s="248"/>
      <c r="AA237" s="248"/>
    </row>
    <row r="238" ht="14.25" customHeight="1">
      <c r="F238" s="173"/>
      <c r="G238" s="173"/>
      <c r="H238" s="173"/>
      <c r="Y238" s="248"/>
      <c r="Z238" s="248"/>
      <c r="AA238" s="248"/>
    </row>
    <row r="239" ht="14.25" customHeight="1">
      <c r="F239" s="173"/>
      <c r="G239" s="173"/>
      <c r="H239" s="173"/>
      <c r="Y239" s="248"/>
      <c r="Z239" s="248"/>
      <c r="AA239" s="248"/>
    </row>
    <row r="240" ht="14.25" customHeight="1">
      <c r="F240" s="173"/>
      <c r="G240" s="173"/>
      <c r="H240" s="173"/>
      <c r="Y240" s="248"/>
      <c r="Z240" s="248"/>
      <c r="AA240" s="248"/>
    </row>
    <row r="241" ht="14.25" customHeight="1">
      <c r="F241" s="173"/>
      <c r="G241" s="173"/>
      <c r="H241" s="173"/>
      <c r="Y241" s="248"/>
      <c r="Z241" s="248"/>
      <c r="AA241" s="248"/>
    </row>
    <row r="242" ht="14.25" customHeight="1">
      <c r="F242" s="173"/>
      <c r="G242" s="173"/>
      <c r="H242" s="173"/>
      <c r="Y242" s="248"/>
      <c r="Z242" s="248"/>
      <c r="AA242" s="248"/>
    </row>
    <row r="243" ht="14.25" customHeight="1">
      <c r="F243" s="173"/>
      <c r="G243" s="173"/>
      <c r="H243" s="173"/>
      <c r="Y243" s="248"/>
      <c r="Z243" s="248"/>
      <c r="AA243" s="248"/>
    </row>
    <row r="244" ht="14.25" customHeight="1">
      <c r="F244" s="173"/>
      <c r="G244" s="173"/>
      <c r="H244" s="173"/>
      <c r="Y244" s="248"/>
      <c r="Z244" s="248"/>
      <c r="AA244" s="248"/>
    </row>
    <row r="245" ht="14.25" customHeight="1">
      <c r="F245" s="173"/>
      <c r="G245" s="173"/>
      <c r="H245" s="173"/>
      <c r="Y245" s="248"/>
      <c r="Z245" s="248"/>
      <c r="AA245" s="248"/>
    </row>
    <row r="246" ht="14.25" customHeight="1">
      <c r="F246" s="173"/>
      <c r="G246" s="173"/>
      <c r="H246" s="173"/>
      <c r="Y246" s="248"/>
      <c r="Z246" s="248"/>
      <c r="AA246" s="248"/>
    </row>
    <row r="247" ht="14.25" customHeight="1">
      <c r="F247" s="173"/>
      <c r="G247" s="173"/>
      <c r="H247" s="173"/>
      <c r="Y247" s="248"/>
      <c r="Z247" s="248"/>
      <c r="AA247" s="248"/>
    </row>
    <row r="248" ht="14.25" customHeight="1">
      <c r="F248" s="173"/>
      <c r="G248" s="173"/>
      <c r="H248" s="173"/>
      <c r="Y248" s="248"/>
      <c r="Z248" s="248"/>
      <c r="AA248" s="248"/>
    </row>
    <row r="249" ht="14.25" customHeight="1">
      <c r="F249" s="173"/>
      <c r="G249" s="173"/>
      <c r="H249" s="173"/>
      <c r="Y249" s="248"/>
      <c r="Z249" s="248"/>
      <c r="AA249" s="248"/>
    </row>
    <row r="250" ht="14.25" customHeight="1">
      <c r="F250" s="173"/>
      <c r="G250" s="173"/>
      <c r="H250" s="173"/>
      <c r="Y250" s="248"/>
      <c r="Z250" s="248"/>
      <c r="AA250" s="248"/>
    </row>
    <row r="251" ht="14.25" customHeight="1">
      <c r="F251" s="173"/>
      <c r="G251" s="173"/>
      <c r="H251" s="173"/>
      <c r="Y251" s="248"/>
      <c r="Z251" s="248"/>
      <c r="AA251" s="248"/>
    </row>
    <row r="252" ht="14.25" customHeight="1">
      <c r="F252" s="173"/>
      <c r="G252" s="173"/>
      <c r="H252" s="173"/>
      <c r="Y252" s="248"/>
      <c r="Z252" s="248"/>
      <c r="AA252" s="248"/>
    </row>
    <row r="253" ht="14.25" customHeight="1">
      <c r="F253" s="173"/>
      <c r="G253" s="173"/>
      <c r="H253" s="173"/>
      <c r="Y253" s="248"/>
      <c r="Z253" s="248"/>
      <c r="AA253" s="248"/>
    </row>
    <row r="254" ht="14.25" customHeight="1">
      <c r="F254" s="173"/>
      <c r="G254" s="173"/>
      <c r="H254" s="173"/>
      <c r="Y254" s="248"/>
      <c r="Z254" s="248"/>
      <c r="AA254" s="248"/>
    </row>
    <row r="255" ht="14.25" customHeight="1">
      <c r="F255" s="173"/>
      <c r="G255" s="173"/>
      <c r="H255" s="173"/>
      <c r="Y255" s="248"/>
      <c r="Z255" s="248"/>
      <c r="AA255" s="248"/>
    </row>
    <row r="256" ht="14.25" customHeight="1">
      <c r="F256" s="173"/>
      <c r="G256" s="173"/>
      <c r="H256" s="173"/>
      <c r="Y256" s="248"/>
      <c r="Z256" s="248"/>
      <c r="AA256" s="248"/>
    </row>
    <row r="257" ht="14.25" customHeight="1">
      <c r="F257" s="173"/>
      <c r="G257" s="173"/>
      <c r="H257" s="173"/>
      <c r="Y257" s="248"/>
      <c r="Z257" s="248"/>
      <c r="AA257" s="248"/>
    </row>
    <row r="258" ht="14.25" customHeight="1">
      <c r="F258" s="173"/>
      <c r="G258" s="173"/>
      <c r="H258" s="173"/>
      <c r="Y258" s="248"/>
      <c r="Z258" s="248"/>
      <c r="AA258" s="248"/>
    </row>
    <row r="259" ht="14.25" customHeight="1">
      <c r="F259" s="173"/>
      <c r="G259" s="173"/>
      <c r="H259" s="173"/>
      <c r="Y259" s="248"/>
      <c r="Z259" s="248"/>
      <c r="AA259" s="248"/>
    </row>
    <row r="260" ht="14.25" customHeight="1">
      <c r="F260" s="173"/>
      <c r="G260" s="173"/>
      <c r="H260" s="173"/>
      <c r="Y260" s="248"/>
      <c r="Z260" s="248"/>
      <c r="AA260" s="248"/>
    </row>
    <row r="261" ht="14.25" customHeight="1">
      <c r="F261" s="173"/>
      <c r="G261" s="173"/>
      <c r="H261" s="173"/>
      <c r="Y261" s="248"/>
      <c r="Z261" s="248"/>
      <c r="AA261" s="248"/>
    </row>
    <row r="262" ht="14.25" customHeight="1">
      <c r="F262" s="173"/>
      <c r="G262" s="173"/>
      <c r="H262" s="173"/>
      <c r="Y262" s="248"/>
      <c r="Z262" s="248"/>
      <c r="AA262" s="248"/>
    </row>
    <row r="263" ht="14.25" customHeight="1">
      <c r="F263" s="173"/>
      <c r="G263" s="173"/>
      <c r="H263" s="173"/>
      <c r="Y263" s="248"/>
      <c r="Z263" s="248"/>
      <c r="AA263" s="248"/>
    </row>
    <row r="264" ht="14.25" customHeight="1">
      <c r="F264" s="173"/>
      <c r="G264" s="173"/>
      <c r="H264" s="173"/>
      <c r="Y264" s="248"/>
      <c r="Z264" s="248"/>
      <c r="AA264" s="248"/>
    </row>
    <row r="265" ht="14.25" customHeight="1">
      <c r="F265" s="173"/>
      <c r="G265" s="173"/>
      <c r="H265" s="173"/>
      <c r="Y265" s="248"/>
      <c r="Z265" s="248"/>
      <c r="AA265" s="248"/>
    </row>
    <row r="266" ht="14.25" customHeight="1">
      <c r="F266" s="173"/>
      <c r="G266" s="173"/>
      <c r="H266" s="173"/>
      <c r="Y266" s="248"/>
      <c r="Z266" s="248"/>
      <c r="AA266" s="248"/>
    </row>
    <row r="267" ht="14.25" customHeight="1">
      <c r="F267" s="173"/>
      <c r="G267" s="173"/>
      <c r="H267" s="173"/>
      <c r="Y267" s="248"/>
      <c r="Z267" s="248"/>
      <c r="AA267" s="248"/>
    </row>
    <row r="268" ht="14.25" customHeight="1">
      <c r="F268" s="173"/>
      <c r="G268" s="173"/>
      <c r="H268" s="173"/>
      <c r="Y268" s="248"/>
      <c r="Z268" s="248"/>
      <c r="AA268" s="248"/>
    </row>
    <row r="269" ht="14.25" customHeight="1">
      <c r="F269" s="173"/>
      <c r="G269" s="173"/>
      <c r="H269" s="173"/>
      <c r="Y269" s="248"/>
      <c r="Z269" s="248"/>
      <c r="AA269" s="248"/>
    </row>
    <row r="270" ht="14.25" customHeight="1">
      <c r="F270" s="173"/>
      <c r="G270" s="173"/>
      <c r="H270" s="173"/>
      <c r="Y270" s="248"/>
      <c r="Z270" s="248"/>
      <c r="AA270" s="248"/>
    </row>
    <row r="271" ht="14.25" customHeight="1">
      <c r="F271" s="173"/>
      <c r="G271" s="173"/>
      <c r="H271" s="173"/>
      <c r="Y271" s="248"/>
      <c r="Z271" s="248"/>
      <c r="AA271" s="248"/>
    </row>
    <row r="272" ht="14.25" customHeight="1">
      <c r="F272" s="173"/>
      <c r="G272" s="173"/>
      <c r="H272" s="173"/>
      <c r="Y272" s="248"/>
      <c r="Z272" s="248"/>
      <c r="AA272" s="248"/>
    </row>
    <row r="273" ht="14.25" customHeight="1">
      <c r="F273" s="173"/>
      <c r="G273" s="173"/>
      <c r="H273" s="173"/>
      <c r="Y273" s="248"/>
      <c r="Z273" s="248"/>
      <c r="AA273" s="248"/>
    </row>
    <row r="274" ht="14.25" customHeight="1">
      <c r="F274" s="173"/>
      <c r="G274" s="173"/>
      <c r="H274" s="173"/>
      <c r="Y274" s="248"/>
      <c r="Z274" s="248"/>
      <c r="AA274" s="248"/>
    </row>
    <row r="275" ht="14.25" customHeight="1">
      <c r="F275" s="173"/>
      <c r="G275" s="173"/>
      <c r="H275" s="173"/>
      <c r="Y275" s="248"/>
      <c r="Z275" s="248"/>
      <c r="AA275" s="248"/>
    </row>
    <row r="276" ht="14.25" customHeight="1">
      <c r="F276" s="173"/>
      <c r="G276" s="173"/>
      <c r="H276" s="173"/>
      <c r="Y276" s="248"/>
      <c r="Z276" s="248"/>
      <c r="AA276" s="248"/>
    </row>
    <row r="277" ht="14.25" customHeight="1">
      <c r="F277" s="173"/>
      <c r="G277" s="173"/>
      <c r="H277" s="173"/>
      <c r="Y277" s="248"/>
      <c r="Z277" s="248"/>
      <c r="AA277" s="248"/>
    </row>
    <row r="278" ht="14.25" customHeight="1">
      <c r="F278" s="173"/>
      <c r="G278" s="173"/>
      <c r="H278" s="173"/>
      <c r="Y278" s="248"/>
      <c r="Z278" s="248"/>
      <c r="AA278" s="248"/>
    </row>
    <row r="279" ht="14.25" customHeight="1">
      <c r="F279" s="173"/>
      <c r="G279" s="173"/>
      <c r="H279" s="173"/>
      <c r="Y279" s="248"/>
      <c r="Z279" s="248"/>
      <c r="AA279" s="248"/>
    </row>
    <row r="280" ht="14.25" customHeight="1">
      <c r="F280" s="173"/>
      <c r="G280" s="173"/>
      <c r="H280" s="173"/>
      <c r="Y280" s="248"/>
      <c r="Z280" s="248"/>
      <c r="AA280" s="248"/>
    </row>
    <row r="281" ht="14.25" customHeight="1">
      <c r="F281" s="173"/>
      <c r="G281" s="173"/>
      <c r="H281" s="173"/>
      <c r="Y281" s="248"/>
      <c r="Z281" s="248"/>
      <c r="AA281" s="248"/>
    </row>
    <row r="282" ht="14.25" customHeight="1">
      <c r="F282" s="173"/>
      <c r="G282" s="173"/>
      <c r="H282" s="173"/>
      <c r="Y282" s="248"/>
      <c r="Z282" s="248"/>
      <c r="AA282" s="248"/>
    </row>
    <row r="283" ht="14.25" customHeight="1">
      <c r="F283" s="173"/>
      <c r="G283" s="173"/>
      <c r="H283" s="173"/>
      <c r="Y283" s="248"/>
      <c r="Z283" s="248"/>
      <c r="AA283" s="248"/>
    </row>
    <row r="284" ht="14.25" customHeight="1">
      <c r="F284" s="173"/>
      <c r="G284" s="173"/>
      <c r="H284" s="173"/>
      <c r="Y284" s="248"/>
      <c r="Z284" s="248"/>
      <c r="AA284" s="248"/>
    </row>
    <row r="285" ht="14.25" customHeight="1">
      <c r="F285" s="173"/>
      <c r="G285" s="173"/>
      <c r="H285" s="173"/>
      <c r="Y285" s="248"/>
      <c r="Z285" s="248"/>
      <c r="AA285" s="248"/>
    </row>
    <row r="286" ht="14.25" customHeight="1">
      <c r="F286" s="173"/>
      <c r="G286" s="173"/>
      <c r="H286" s="173"/>
      <c r="Y286" s="248"/>
      <c r="Z286" s="248"/>
      <c r="AA286" s="248"/>
    </row>
    <row r="287" ht="14.25" customHeight="1">
      <c r="F287" s="173"/>
      <c r="G287" s="173"/>
      <c r="H287" s="173"/>
      <c r="Y287" s="248"/>
      <c r="Z287" s="248"/>
      <c r="AA287" s="248"/>
    </row>
    <row r="288" ht="14.25" customHeight="1">
      <c r="F288" s="173"/>
      <c r="G288" s="173"/>
      <c r="H288" s="173"/>
      <c r="Y288" s="248"/>
      <c r="Z288" s="248"/>
      <c r="AA288" s="248"/>
    </row>
    <row r="289" ht="14.25" customHeight="1">
      <c r="F289" s="173"/>
      <c r="G289" s="173"/>
      <c r="H289" s="173"/>
      <c r="Y289" s="248"/>
      <c r="Z289" s="248"/>
      <c r="AA289" s="248"/>
    </row>
    <row r="290" ht="14.25" customHeight="1">
      <c r="F290" s="173"/>
      <c r="G290" s="173"/>
      <c r="H290" s="173"/>
      <c r="Y290" s="248"/>
      <c r="Z290" s="248"/>
      <c r="AA290" s="248"/>
    </row>
    <row r="291" ht="14.25" customHeight="1">
      <c r="F291" s="173"/>
      <c r="G291" s="173"/>
      <c r="H291" s="173"/>
      <c r="Y291" s="248"/>
      <c r="Z291" s="248"/>
      <c r="AA291" s="248"/>
    </row>
    <row r="292" ht="14.25" customHeight="1">
      <c r="F292" s="173"/>
      <c r="G292" s="173"/>
      <c r="H292" s="173"/>
      <c r="Y292" s="248"/>
      <c r="Z292" s="248"/>
      <c r="AA292" s="248"/>
    </row>
    <row r="293" ht="14.25" customHeight="1">
      <c r="F293" s="173"/>
      <c r="G293" s="173"/>
      <c r="H293" s="173"/>
      <c r="Y293" s="248"/>
      <c r="Z293" s="248"/>
      <c r="AA293" s="248"/>
    </row>
    <row r="294" ht="14.25" customHeight="1">
      <c r="F294" s="173"/>
      <c r="G294" s="173"/>
      <c r="H294" s="173"/>
      <c r="Y294" s="248"/>
      <c r="Z294" s="248"/>
      <c r="AA294" s="248"/>
    </row>
    <row r="295" ht="14.25" customHeight="1">
      <c r="F295" s="173"/>
      <c r="G295" s="173"/>
      <c r="H295" s="173"/>
      <c r="Y295" s="248"/>
      <c r="Z295" s="248"/>
      <c r="AA295" s="248"/>
    </row>
    <row r="296" ht="14.25" customHeight="1">
      <c r="F296" s="173"/>
      <c r="G296" s="173"/>
      <c r="H296" s="173"/>
      <c r="Y296" s="248"/>
      <c r="Z296" s="248"/>
      <c r="AA296" s="248"/>
    </row>
    <row r="297" ht="14.25" customHeight="1">
      <c r="F297" s="173"/>
      <c r="G297" s="173"/>
      <c r="H297" s="173"/>
      <c r="Y297" s="248"/>
      <c r="Z297" s="248"/>
      <c r="AA297" s="248"/>
    </row>
    <row r="298" ht="14.25" customHeight="1">
      <c r="F298" s="173"/>
      <c r="G298" s="173"/>
      <c r="H298" s="173"/>
      <c r="Y298" s="248"/>
      <c r="Z298" s="248"/>
      <c r="AA298" s="248"/>
    </row>
    <row r="299" ht="14.25" customHeight="1">
      <c r="F299" s="173"/>
      <c r="G299" s="173"/>
      <c r="H299" s="173"/>
      <c r="Y299" s="248"/>
      <c r="Z299" s="248"/>
      <c r="AA299" s="248"/>
    </row>
    <row r="300" ht="14.25" customHeight="1">
      <c r="F300" s="173"/>
      <c r="G300" s="173"/>
      <c r="H300" s="173"/>
      <c r="Y300" s="248"/>
      <c r="Z300" s="248"/>
      <c r="AA300" s="248"/>
    </row>
    <row r="301" ht="14.25" customHeight="1">
      <c r="F301" s="173"/>
      <c r="G301" s="173"/>
      <c r="H301" s="173"/>
      <c r="Y301" s="248"/>
      <c r="Z301" s="248"/>
      <c r="AA301" s="248"/>
    </row>
    <row r="302" ht="14.25" customHeight="1">
      <c r="F302" s="173"/>
      <c r="G302" s="173"/>
      <c r="H302" s="173"/>
      <c r="Y302" s="248"/>
      <c r="Z302" s="248"/>
      <c r="AA302" s="248"/>
    </row>
    <row r="303" ht="14.25" customHeight="1">
      <c r="F303" s="173"/>
      <c r="G303" s="173"/>
      <c r="H303" s="173"/>
      <c r="Y303" s="248"/>
      <c r="Z303" s="248"/>
      <c r="AA303" s="248"/>
    </row>
    <row r="304" ht="14.25" customHeight="1">
      <c r="F304" s="173"/>
      <c r="G304" s="173"/>
      <c r="H304" s="173"/>
      <c r="Y304" s="248"/>
      <c r="Z304" s="248"/>
      <c r="AA304" s="248"/>
    </row>
    <row r="305" ht="14.25" customHeight="1">
      <c r="F305" s="173"/>
      <c r="G305" s="173"/>
      <c r="H305" s="173"/>
      <c r="Y305" s="248"/>
      <c r="Z305" s="248"/>
      <c r="AA305" s="248"/>
    </row>
    <row r="306" ht="14.25" customHeight="1">
      <c r="F306" s="173"/>
      <c r="G306" s="173"/>
      <c r="H306" s="173"/>
      <c r="Y306" s="248"/>
      <c r="Z306" s="248"/>
      <c r="AA306" s="248"/>
    </row>
    <row r="307" ht="14.25" customHeight="1">
      <c r="F307" s="173"/>
      <c r="G307" s="173"/>
      <c r="H307" s="173"/>
      <c r="Y307" s="248"/>
      <c r="Z307" s="248"/>
      <c r="AA307" s="248"/>
    </row>
    <row r="308" ht="14.25" customHeight="1">
      <c r="F308" s="173"/>
      <c r="G308" s="173"/>
      <c r="H308" s="173"/>
      <c r="Y308" s="248"/>
      <c r="Z308" s="248"/>
      <c r="AA308" s="248"/>
    </row>
    <row r="309" ht="14.25" customHeight="1">
      <c r="F309" s="173"/>
      <c r="G309" s="173"/>
      <c r="H309" s="173"/>
      <c r="Y309" s="248"/>
      <c r="Z309" s="248"/>
      <c r="AA309" s="248"/>
    </row>
    <row r="310" ht="14.25" customHeight="1">
      <c r="F310" s="173"/>
      <c r="G310" s="173"/>
      <c r="H310" s="173"/>
      <c r="Y310" s="248"/>
      <c r="Z310" s="248"/>
      <c r="AA310" s="248"/>
    </row>
    <row r="311" ht="14.25" customHeight="1">
      <c r="F311" s="173"/>
      <c r="G311" s="173"/>
      <c r="H311" s="173"/>
      <c r="Y311" s="248"/>
      <c r="Z311" s="248"/>
      <c r="AA311" s="248"/>
    </row>
    <row r="312" ht="14.25" customHeight="1">
      <c r="F312" s="173"/>
      <c r="G312" s="173"/>
      <c r="H312" s="173"/>
      <c r="Y312" s="248"/>
      <c r="Z312" s="248"/>
      <c r="AA312" s="248"/>
    </row>
    <row r="313" ht="14.25" customHeight="1">
      <c r="F313" s="173"/>
      <c r="G313" s="173"/>
      <c r="H313" s="173"/>
      <c r="Y313" s="248"/>
      <c r="Z313" s="248"/>
      <c r="AA313" s="248"/>
    </row>
    <row r="314" ht="14.25" customHeight="1">
      <c r="F314" s="173"/>
      <c r="G314" s="173"/>
      <c r="H314" s="173"/>
      <c r="Y314" s="248"/>
      <c r="Z314" s="248"/>
      <c r="AA314" s="248"/>
    </row>
    <row r="315" ht="14.25" customHeight="1">
      <c r="F315" s="173"/>
      <c r="G315" s="173"/>
      <c r="H315" s="173"/>
      <c r="Y315" s="248"/>
      <c r="Z315" s="248"/>
      <c r="AA315" s="248"/>
    </row>
    <row r="316" ht="14.25" customHeight="1">
      <c r="F316" s="173"/>
      <c r="G316" s="173"/>
      <c r="H316" s="173"/>
      <c r="Y316" s="248"/>
      <c r="Z316" s="248"/>
      <c r="AA316" s="248"/>
    </row>
    <row r="317" ht="14.25" customHeight="1">
      <c r="F317" s="173"/>
      <c r="G317" s="173"/>
      <c r="H317" s="173"/>
      <c r="Y317" s="248"/>
      <c r="Z317" s="248"/>
      <c r="AA317" s="248"/>
    </row>
    <row r="318" ht="14.25" customHeight="1">
      <c r="F318" s="173"/>
      <c r="G318" s="173"/>
      <c r="H318" s="173"/>
      <c r="Y318" s="248"/>
      <c r="Z318" s="248"/>
      <c r="AA318" s="248"/>
    </row>
    <row r="319" ht="14.25" customHeight="1">
      <c r="F319" s="173"/>
      <c r="G319" s="173"/>
      <c r="H319" s="173"/>
      <c r="Y319" s="248"/>
      <c r="Z319" s="248"/>
      <c r="AA319" s="248"/>
    </row>
    <row r="320" ht="14.25" customHeight="1">
      <c r="F320" s="173"/>
      <c r="G320" s="173"/>
      <c r="H320" s="173"/>
      <c r="Y320" s="248"/>
      <c r="Z320" s="248"/>
      <c r="AA320" s="248"/>
    </row>
    <row r="321" ht="14.25" customHeight="1">
      <c r="F321" s="173"/>
      <c r="G321" s="173"/>
      <c r="H321" s="173"/>
      <c r="Y321" s="248"/>
      <c r="Z321" s="248"/>
      <c r="AA321" s="248"/>
    </row>
    <row r="322" ht="14.25" customHeight="1">
      <c r="F322" s="173"/>
      <c r="G322" s="173"/>
      <c r="H322" s="173"/>
      <c r="Y322" s="248"/>
      <c r="Z322" s="248"/>
      <c r="AA322" s="248"/>
    </row>
    <row r="323" ht="14.25" customHeight="1">
      <c r="F323" s="173"/>
      <c r="G323" s="173"/>
      <c r="H323" s="173"/>
      <c r="Y323" s="248"/>
      <c r="Z323" s="248"/>
      <c r="AA323" s="248"/>
    </row>
    <row r="324" ht="14.25" customHeight="1">
      <c r="F324" s="173"/>
      <c r="G324" s="173"/>
      <c r="H324" s="173"/>
      <c r="Y324" s="248"/>
      <c r="Z324" s="248"/>
      <c r="AA324" s="248"/>
    </row>
    <row r="325" ht="14.25" customHeight="1">
      <c r="F325" s="173"/>
      <c r="G325" s="173"/>
      <c r="H325" s="173"/>
      <c r="Y325" s="248"/>
      <c r="Z325" s="248"/>
      <c r="AA325" s="248"/>
    </row>
    <row r="326" ht="14.25" customHeight="1">
      <c r="F326" s="173"/>
      <c r="G326" s="173"/>
      <c r="H326" s="173"/>
      <c r="Y326" s="248"/>
      <c r="Z326" s="248"/>
      <c r="AA326" s="248"/>
    </row>
    <row r="327" ht="14.25" customHeight="1">
      <c r="F327" s="173"/>
      <c r="G327" s="173"/>
      <c r="H327" s="173"/>
      <c r="Y327" s="248"/>
      <c r="Z327" s="248"/>
      <c r="AA327" s="248"/>
    </row>
    <row r="328" ht="14.25" customHeight="1">
      <c r="F328" s="173"/>
      <c r="G328" s="173"/>
      <c r="H328" s="173"/>
      <c r="Y328" s="248"/>
      <c r="Z328" s="248"/>
      <c r="AA328" s="248"/>
    </row>
    <row r="329" ht="14.25" customHeight="1">
      <c r="F329" s="173"/>
      <c r="G329" s="173"/>
      <c r="H329" s="173"/>
      <c r="Y329" s="248"/>
      <c r="Z329" s="248"/>
      <c r="AA329" s="248"/>
    </row>
    <row r="330" ht="14.25" customHeight="1">
      <c r="F330" s="173"/>
      <c r="G330" s="173"/>
      <c r="H330" s="173"/>
      <c r="Y330" s="248"/>
      <c r="Z330" s="248"/>
      <c r="AA330" s="248"/>
    </row>
    <row r="331" ht="14.25" customHeight="1">
      <c r="F331" s="173"/>
      <c r="G331" s="173"/>
      <c r="H331" s="173"/>
      <c r="Y331" s="248"/>
      <c r="Z331" s="248"/>
      <c r="AA331" s="248"/>
    </row>
    <row r="332" ht="14.25" customHeight="1">
      <c r="F332" s="173"/>
      <c r="G332" s="173"/>
      <c r="H332" s="173"/>
      <c r="Y332" s="248"/>
      <c r="Z332" s="248"/>
      <c r="AA332" s="248"/>
    </row>
    <row r="333" ht="14.25" customHeight="1">
      <c r="F333" s="173"/>
      <c r="G333" s="173"/>
      <c r="H333" s="173"/>
      <c r="Y333" s="248"/>
      <c r="Z333" s="248"/>
      <c r="AA333" s="248"/>
    </row>
    <row r="334" ht="14.25" customHeight="1">
      <c r="F334" s="173"/>
      <c r="G334" s="173"/>
      <c r="H334" s="173"/>
      <c r="Y334" s="248"/>
      <c r="Z334" s="248"/>
      <c r="AA334" s="248"/>
    </row>
    <row r="335" ht="14.25" customHeight="1">
      <c r="F335" s="173"/>
      <c r="G335" s="173"/>
      <c r="H335" s="173"/>
      <c r="Y335" s="248"/>
      <c r="Z335" s="248"/>
      <c r="AA335" s="248"/>
    </row>
    <row r="336" ht="14.25" customHeight="1">
      <c r="F336" s="173"/>
      <c r="G336" s="173"/>
      <c r="H336" s="173"/>
      <c r="Y336" s="248"/>
      <c r="Z336" s="248"/>
      <c r="AA336" s="248"/>
    </row>
    <row r="337" ht="14.25" customHeight="1">
      <c r="F337" s="173"/>
      <c r="G337" s="173"/>
      <c r="H337" s="173"/>
      <c r="Y337" s="248"/>
      <c r="Z337" s="248"/>
      <c r="AA337" s="248"/>
    </row>
    <row r="338" ht="14.25" customHeight="1">
      <c r="F338" s="173"/>
      <c r="G338" s="173"/>
      <c r="H338" s="173"/>
      <c r="Y338" s="248"/>
      <c r="Z338" s="248"/>
      <c r="AA338" s="248"/>
    </row>
    <row r="339" ht="14.25" customHeight="1">
      <c r="F339" s="173"/>
      <c r="G339" s="173"/>
      <c r="H339" s="173"/>
      <c r="Y339" s="248"/>
      <c r="Z339" s="248"/>
      <c r="AA339" s="248"/>
    </row>
    <row r="340" ht="14.25" customHeight="1">
      <c r="F340" s="173"/>
      <c r="G340" s="173"/>
      <c r="H340" s="173"/>
      <c r="Y340" s="248"/>
      <c r="Z340" s="248"/>
      <c r="AA340" s="248"/>
    </row>
    <row r="341" ht="14.25" customHeight="1">
      <c r="F341" s="173"/>
      <c r="G341" s="173"/>
      <c r="H341" s="173"/>
      <c r="Y341" s="248"/>
      <c r="Z341" s="248"/>
      <c r="AA341" s="248"/>
    </row>
    <row r="342" ht="14.25" customHeight="1">
      <c r="F342" s="173"/>
      <c r="G342" s="173"/>
      <c r="H342" s="173"/>
      <c r="Y342" s="248"/>
      <c r="Z342" s="248"/>
      <c r="AA342" s="248"/>
    </row>
    <row r="343" ht="14.25" customHeight="1">
      <c r="F343" s="173"/>
      <c r="G343" s="173"/>
      <c r="H343" s="173"/>
      <c r="Y343" s="248"/>
      <c r="Z343" s="248"/>
      <c r="AA343" s="248"/>
    </row>
    <row r="344" ht="14.25" customHeight="1">
      <c r="F344" s="173"/>
      <c r="G344" s="173"/>
      <c r="H344" s="173"/>
      <c r="Y344" s="248"/>
      <c r="Z344" s="248"/>
      <c r="AA344" s="248"/>
    </row>
    <row r="345" ht="14.25" customHeight="1">
      <c r="F345" s="173"/>
      <c r="G345" s="173"/>
      <c r="H345" s="173"/>
      <c r="Y345" s="248"/>
      <c r="Z345" s="248"/>
      <c r="AA345" s="248"/>
    </row>
    <row r="346" ht="14.25" customHeight="1">
      <c r="F346" s="173"/>
      <c r="G346" s="173"/>
      <c r="H346" s="173"/>
      <c r="Y346" s="248"/>
      <c r="Z346" s="248"/>
      <c r="AA346" s="248"/>
    </row>
    <row r="347" ht="14.25" customHeight="1">
      <c r="F347" s="173"/>
      <c r="G347" s="173"/>
      <c r="H347" s="173"/>
      <c r="Y347" s="248"/>
      <c r="Z347" s="248"/>
      <c r="AA347" s="248"/>
    </row>
    <row r="348" ht="14.25" customHeight="1">
      <c r="F348" s="173"/>
      <c r="G348" s="173"/>
      <c r="H348" s="173"/>
      <c r="Y348" s="248"/>
      <c r="Z348" s="248"/>
      <c r="AA348" s="248"/>
    </row>
    <row r="349" ht="14.25" customHeight="1">
      <c r="F349" s="173"/>
      <c r="G349" s="173"/>
      <c r="H349" s="173"/>
      <c r="Y349" s="248"/>
      <c r="Z349" s="248"/>
      <c r="AA349" s="248"/>
    </row>
    <row r="350" ht="14.25" customHeight="1">
      <c r="F350" s="173"/>
      <c r="G350" s="173"/>
      <c r="H350" s="173"/>
      <c r="Y350" s="248"/>
      <c r="Z350" s="248"/>
      <c r="AA350" s="248"/>
    </row>
    <row r="351" ht="14.25" customHeight="1">
      <c r="F351" s="173"/>
      <c r="G351" s="173"/>
      <c r="H351" s="173"/>
      <c r="Y351" s="248"/>
      <c r="Z351" s="248"/>
      <c r="AA351" s="248"/>
    </row>
    <row r="352" ht="14.25" customHeight="1">
      <c r="F352" s="173"/>
      <c r="G352" s="173"/>
      <c r="H352" s="173"/>
      <c r="Y352" s="248"/>
      <c r="Z352" s="248"/>
      <c r="AA352" s="248"/>
    </row>
    <row r="353" ht="14.25" customHeight="1">
      <c r="F353" s="173"/>
      <c r="G353" s="173"/>
      <c r="H353" s="173"/>
      <c r="Y353" s="248"/>
      <c r="Z353" s="248"/>
      <c r="AA353" s="248"/>
    </row>
    <row r="354" ht="14.25" customHeight="1">
      <c r="F354" s="173"/>
      <c r="G354" s="173"/>
      <c r="H354" s="173"/>
      <c r="Y354" s="248"/>
      <c r="Z354" s="248"/>
      <c r="AA354" s="248"/>
    </row>
    <row r="355" ht="14.25" customHeight="1">
      <c r="F355" s="173"/>
      <c r="G355" s="173"/>
      <c r="H355" s="173"/>
      <c r="Y355" s="248"/>
      <c r="Z355" s="248"/>
      <c r="AA355" s="248"/>
    </row>
    <row r="356" ht="14.25" customHeight="1">
      <c r="F356" s="173"/>
      <c r="G356" s="173"/>
      <c r="H356" s="173"/>
      <c r="Y356" s="248"/>
      <c r="Z356" s="248"/>
      <c r="AA356" s="248"/>
    </row>
    <row r="357" ht="14.25" customHeight="1">
      <c r="F357" s="173"/>
      <c r="G357" s="173"/>
      <c r="H357" s="173"/>
      <c r="Y357" s="248"/>
      <c r="Z357" s="248"/>
      <c r="AA357" s="248"/>
    </row>
    <row r="358" ht="14.25" customHeight="1">
      <c r="F358" s="173"/>
      <c r="G358" s="173"/>
      <c r="H358" s="173"/>
      <c r="Y358" s="248"/>
      <c r="Z358" s="248"/>
      <c r="AA358" s="248"/>
    </row>
    <row r="359" ht="14.25" customHeight="1">
      <c r="F359" s="173"/>
      <c r="G359" s="173"/>
      <c r="H359" s="173"/>
      <c r="Y359" s="248"/>
      <c r="Z359" s="248"/>
      <c r="AA359" s="248"/>
    </row>
    <row r="360" ht="14.25" customHeight="1">
      <c r="F360" s="173"/>
      <c r="G360" s="173"/>
      <c r="H360" s="173"/>
      <c r="Y360" s="248"/>
      <c r="Z360" s="248"/>
      <c r="AA360" s="248"/>
    </row>
    <row r="361" ht="14.25" customHeight="1">
      <c r="F361" s="173"/>
      <c r="G361" s="173"/>
      <c r="H361" s="173"/>
      <c r="Y361" s="248"/>
      <c r="Z361" s="248"/>
      <c r="AA361" s="248"/>
    </row>
    <row r="362" ht="14.25" customHeight="1">
      <c r="F362" s="173"/>
      <c r="G362" s="173"/>
      <c r="H362" s="173"/>
      <c r="Y362" s="248"/>
      <c r="Z362" s="248"/>
      <c r="AA362" s="248"/>
    </row>
    <row r="363" ht="14.25" customHeight="1">
      <c r="F363" s="173"/>
      <c r="G363" s="173"/>
      <c r="H363" s="173"/>
      <c r="Y363" s="248"/>
      <c r="Z363" s="248"/>
      <c r="AA363" s="248"/>
    </row>
    <row r="364" ht="14.25" customHeight="1">
      <c r="F364" s="173"/>
      <c r="G364" s="173"/>
      <c r="H364" s="173"/>
      <c r="Y364" s="248"/>
      <c r="Z364" s="248"/>
      <c r="AA364" s="248"/>
    </row>
    <row r="365" ht="14.25" customHeight="1">
      <c r="F365" s="173"/>
      <c r="G365" s="173"/>
      <c r="H365" s="173"/>
      <c r="Y365" s="248"/>
      <c r="Z365" s="248"/>
      <c r="AA365" s="248"/>
    </row>
    <row r="366" ht="14.25" customHeight="1">
      <c r="F366" s="173"/>
      <c r="G366" s="173"/>
      <c r="H366" s="173"/>
      <c r="Y366" s="248"/>
      <c r="Z366" s="248"/>
      <c r="AA366" s="248"/>
    </row>
    <row r="367" ht="14.25" customHeight="1">
      <c r="F367" s="173"/>
      <c r="G367" s="173"/>
      <c r="H367" s="173"/>
      <c r="Y367" s="248"/>
      <c r="Z367" s="248"/>
      <c r="AA367" s="248"/>
    </row>
    <row r="368" ht="14.25" customHeight="1">
      <c r="F368" s="173"/>
      <c r="G368" s="173"/>
      <c r="H368" s="173"/>
      <c r="Y368" s="248"/>
      <c r="Z368" s="248"/>
      <c r="AA368" s="248"/>
    </row>
    <row r="369" ht="14.25" customHeight="1">
      <c r="F369" s="173"/>
      <c r="G369" s="173"/>
      <c r="H369" s="173"/>
      <c r="Y369" s="248"/>
      <c r="Z369" s="248"/>
      <c r="AA369" s="248"/>
    </row>
    <row r="370" ht="14.25" customHeight="1">
      <c r="F370" s="173"/>
      <c r="G370" s="173"/>
      <c r="H370" s="173"/>
      <c r="Y370" s="248"/>
      <c r="Z370" s="248"/>
      <c r="AA370" s="248"/>
    </row>
    <row r="371" ht="14.25" customHeight="1">
      <c r="F371" s="173"/>
      <c r="G371" s="173"/>
      <c r="H371" s="173"/>
      <c r="Y371" s="248"/>
      <c r="Z371" s="248"/>
      <c r="AA371" s="248"/>
    </row>
    <row r="372" ht="14.25" customHeight="1">
      <c r="F372" s="173"/>
      <c r="G372" s="173"/>
      <c r="H372" s="173"/>
      <c r="Y372" s="248"/>
      <c r="Z372" s="248"/>
      <c r="AA372" s="248"/>
    </row>
    <row r="373" ht="14.25" customHeight="1">
      <c r="F373" s="173"/>
      <c r="G373" s="173"/>
      <c r="H373" s="173"/>
      <c r="Y373" s="248"/>
      <c r="Z373" s="248"/>
      <c r="AA373" s="248"/>
    </row>
    <row r="374" ht="14.25" customHeight="1">
      <c r="F374" s="173"/>
      <c r="G374" s="173"/>
      <c r="H374" s="173"/>
      <c r="Y374" s="248"/>
      <c r="Z374" s="248"/>
      <c r="AA374" s="248"/>
    </row>
    <row r="375" ht="14.25" customHeight="1">
      <c r="F375" s="173"/>
      <c r="G375" s="173"/>
      <c r="H375" s="173"/>
      <c r="Y375" s="248"/>
      <c r="Z375" s="248"/>
      <c r="AA375" s="248"/>
    </row>
    <row r="376" ht="14.25" customHeight="1">
      <c r="F376" s="173"/>
      <c r="G376" s="173"/>
      <c r="H376" s="173"/>
      <c r="Y376" s="248"/>
      <c r="Z376" s="248"/>
      <c r="AA376" s="248"/>
    </row>
    <row r="377" ht="14.25" customHeight="1">
      <c r="F377" s="173"/>
      <c r="G377" s="173"/>
      <c r="H377" s="173"/>
      <c r="Y377" s="248"/>
      <c r="Z377" s="248"/>
      <c r="AA377" s="248"/>
    </row>
    <row r="378" ht="14.25" customHeight="1">
      <c r="F378" s="173"/>
      <c r="G378" s="173"/>
      <c r="H378" s="173"/>
      <c r="Y378" s="248"/>
      <c r="Z378" s="248"/>
      <c r="AA378" s="248"/>
    </row>
    <row r="379" ht="14.25" customHeight="1">
      <c r="F379" s="173"/>
      <c r="G379" s="173"/>
      <c r="H379" s="173"/>
      <c r="Y379" s="248"/>
      <c r="Z379" s="248"/>
      <c r="AA379" s="248"/>
    </row>
    <row r="380" ht="14.25" customHeight="1">
      <c r="F380" s="173"/>
      <c r="G380" s="173"/>
      <c r="H380" s="173"/>
      <c r="Y380" s="248"/>
      <c r="Z380" s="248"/>
      <c r="AA380" s="248"/>
    </row>
    <row r="381" ht="14.25" customHeight="1">
      <c r="F381" s="173"/>
      <c r="G381" s="173"/>
      <c r="H381" s="173"/>
      <c r="Y381" s="248"/>
      <c r="Z381" s="248"/>
      <c r="AA381" s="248"/>
    </row>
    <row r="382" ht="14.25" customHeight="1">
      <c r="F382" s="173"/>
      <c r="G382" s="173"/>
      <c r="H382" s="173"/>
      <c r="Y382" s="248"/>
      <c r="Z382" s="248"/>
      <c r="AA382" s="248"/>
    </row>
    <row r="383" ht="14.25" customHeight="1">
      <c r="F383" s="173"/>
      <c r="G383" s="173"/>
      <c r="H383" s="173"/>
      <c r="Y383" s="248"/>
      <c r="Z383" s="248"/>
      <c r="AA383" s="248"/>
    </row>
    <row r="384" ht="14.25" customHeight="1">
      <c r="F384" s="173"/>
      <c r="G384" s="173"/>
      <c r="H384" s="173"/>
      <c r="Y384" s="248"/>
      <c r="Z384" s="248"/>
      <c r="AA384" s="248"/>
    </row>
    <row r="385" ht="14.25" customHeight="1">
      <c r="F385" s="173"/>
      <c r="G385" s="173"/>
      <c r="H385" s="173"/>
      <c r="Y385" s="248"/>
      <c r="Z385" s="248"/>
      <c r="AA385" s="248"/>
    </row>
    <row r="386" ht="14.25" customHeight="1">
      <c r="F386" s="173"/>
      <c r="G386" s="173"/>
      <c r="H386" s="173"/>
      <c r="Y386" s="248"/>
      <c r="Z386" s="248"/>
      <c r="AA386" s="248"/>
    </row>
    <row r="387" ht="14.25" customHeight="1">
      <c r="F387" s="173"/>
      <c r="G387" s="173"/>
      <c r="H387" s="173"/>
      <c r="Y387" s="248"/>
      <c r="Z387" s="248"/>
      <c r="AA387" s="248"/>
    </row>
    <row r="388" ht="14.25" customHeight="1">
      <c r="F388" s="173"/>
      <c r="G388" s="173"/>
      <c r="H388" s="173"/>
      <c r="Y388" s="248"/>
      <c r="Z388" s="248"/>
      <c r="AA388" s="248"/>
    </row>
    <row r="389" ht="14.25" customHeight="1">
      <c r="F389" s="173"/>
      <c r="G389" s="173"/>
      <c r="H389" s="173"/>
      <c r="Y389" s="248"/>
      <c r="Z389" s="248"/>
      <c r="AA389" s="248"/>
    </row>
    <row r="390" ht="14.25" customHeight="1">
      <c r="F390" s="173"/>
      <c r="G390" s="173"/>
      <c r="H390" s="173"/>
      <c r="Y390" s="248"/>
      <c r="Z390" s="248"/>
      <c r="AA390" s="248"/>
    </row>
    <row r="391" ht="14.25" customHeight="1">
      <c r="F391" s="173"/>
      <c r="G391" s="173"/>
      <c r="H391" s="173"/>
      <c r="Y391" s="248"/>
      <c r="Z391" s="248"/>
      <c r="AA391" s="248"/>
    </row>
    <row r="392" ht="14.25" customHeight="1">
      <c r="F392" s="173"/>
      <c r="G392" s="173"/>
      <c r="H392" s="173"/>
      <c r="Y392" s="248"/>
      <c r="Z392" s="248"/>
      <c r="AA392" s="248"/>
    </row>
    <row r="393" ht="14.25" customHeight="1">
      <c r="F393" s="173"/>
      <c r="G393" s="173"/>
      <c r="H393" s="173"/>
      <c r="Y393" s="248"/>
      <c r="Z393" s="248"/>
      <c r="AA393" s="248"/>
    </row>
    <row r="394" ht="14.25" customHeight="1">
      <c r="F394" s="173"/>
      <c r="G394" s="173"/>
      <c r="H394" s="173"/>
      <c r="Y394" s="248"/>
      <c r="Z394" s="248"/>
      <c r="AA394" s="248"/>
    </row>
    <row r="395" ht="14.25" customHeight="1">
      <c r="F395" s="173"/>
      <c r="G395" s="173"/>
      <c r="H395" s="173"/>
      <c r="Y395" s="248"/>
      <c r="Z395" s="248"/>
      <c r="AA395" s="248"/>
    </row>
    <row r="396" ht="14.25" customHeight="1">
      <c r="F396" s="173"/>
      <c r="G396" s="173"/>
      <c r="H396" s="173"/>
      <c r="Y396" s="248"/>
      <c r="Z396" s="248"/>
      <c r="AA396" s="248"/>
    </row>
    <row r="397" ht="14.25" customHeight="1">
      <c r="F397" s="173"/>
      <c r="G397" s="173"/>
      <c r="H397" s="173"/>
      <c r="Y397" s="248"/>
      <c r="Z397" s="248"/>
      <c r="AA397" s="248"/>
    </row>
    <row r="398" ht="14.25" customHeight="1">
      <c r="F398" s="173"/>
      <c r="G398" s="173"/>
      <c r="H398" s="173"/>
      <c r="Y398" s="248"/>
      <c r="Z398" s="248"/>
      <c r="AA398" s="248"/>
    </row>
    <row r="399" ht="14.25" customHeight="1">
      <c r="F399" s="173"/>
      <c r="G399" s="173"/>
      <c r="H399" s="173"/>
      <c r="Y399" s="248"/>
      <c r="Z399" s="248"/>
      <c r="AA399" s="248"/>
    </row>
    <row r="400" ht="14.25" customHeight="1">
      <c r="F400" s="173"/>
      <c r="G400" s="173"/>
      <c r="H400" s="173"/>
      <c r="Y400" s="248"/>
      <c r="Z400" s="248"/>
      <c r="AA400" s="248"/>
    </row>
    <row r="401" ht="14.25" customHeight="1">
      <c r="F401" s="173"/>
      <c r="G401" s="173"/>
      <c r="H401" s="173"/>
      <c r="Y401" s="248"/>
      <c r="Z401" s="248"/>
      <c r="AA401" s="248"/>
    </row>
    <row r="402" ht="14.25" customHeight="1">
      <c r="F402" s="173"/>
      <c r="G402" s="173"/>
      <c r="H402" s="173"/>
      <c r="Y402" s="248"/>
      <c r="Z402" s="248"/>
      <c r="AA402" s="248"/>
    </row>
    <row r="403" ht="14.25" customHeight="1">
      <c r="F403" s="173"/>
      <c r="G403" s="173"/>
      <c r="H403" s="173"/>
      <c r="Y403" s="248"/>
      <c r="Z403" s="248"/>
      <c r="AA403" s="248"/>
    </row>
    <row r="404" ht="14.25" customHeight="1">
      <c r="F404" s="173"/>
      <c r="G404" s="173"/>
      <c r="H404" s="173"/>
      <c r="Y404" s="248"/>
      <c r="Z404" s="248"/>
      <c r="AA404" s="248"/>
    </row>
    <row r="405" ht="14.25" customHeight="1">
      <c r="F405" s="173"/>
      <c r="G405" s="173"/>
      <c r="H405" s="173"/>
      <c r="Y405" s="248"/>
      <c r="Z405" s="248"/>
      <c r="AA405" s="248"/>
    </row>
    <row r="406" ht="14.25" customHeight="1">
      <c r="F406" s="173"/>
      <c r="G406" s="173"/>
      <c r="H406" s="173"/>
      <c r="Y406" s="248"/>
      <c r="Z406" s="248"/>
      <c r="AA406" s="248"/>
    </row>
    <row r="407" ht="14.25" customHeight="1">
      <c r="F407" s="173"/>
      <c r="G407" s="173"/>
      <c r="H407" s="173"/>
      <c r="Y407" s="248"/>
      <c r="Z407" s="248"/>
      <c r="AA407" s="248"/>
    </row>
    <row r="408" ht="14.25" customHeight="1">
      <c r="F408" s="173"/>
      <c r="G408" s="173"/>
      <c r="H408" s="173"/>
      <c r="Y408" s="248"/>
      <c r="Z408" s="248"/>
      <c r="AA408" s="248"/>
    </row>
    <row r="409" ht="14.25" customHeight="1">
      <c r="F409" s="173"/>
      <c r="G409" s="173"/>
      <c r="H409" s="173"/>
      <c r="Y409" s="248"/>
      <c r="Z409" s="248"/>
      <c r="AA409" s="248"/>
    </row>
    <row r="410" ht="14.25" customHeight="1">
      <c r="F410" s="173"/>
      <c r="G410" s="173"/>
      <c r="H410" s="173"/>
      <c r="Y410" s="248"/>
      <c r="Z410" s="248"/>
      <c r="AA410" s="248"/>
    </row>
    <row r="411" ht="14.25" customHeight="1">
      <c r="F411" s="173"/>
      <c r="G411" s="173"/>
      <c r="H411" s="173"/>
      <c r="Y411" s="248"/>
      <c r="Z411" s="248"/>
      <c r="AA411" s="248"/>
    </row>
    <row r="412" ht="14.25" customHeight="1">
      <c r="F412" s="173"/>
      <c r="G412" s="173"/>
      <c r="H412" s="173"/>
      <c r="Y412" s="248"/>
      <c r="Z412" s="248"/>
      <c r="AA412" s="248"/>
    </row>
    <row r="413" ht="14.25" customHeight="1">
      <c r="F413" s="173"/>
      <c r="G413" s="173"/>
      <c r="H413" s="173"/>
      <c r="Y413" s="248"/>
      <c r="Z413" s="248"/>
      <c r="AA413" s="248"/>
    </row>
    <row r="414" ht="14.25" customHeight="1">
      <c r="F414" s="173"/>
      <c r="G414" s="173"/>
      <c r="H414" s="173"/>
      <c r="Y414" s="248"/>
      <c r="Z414" s="248"/>
      <c r="AA414" s="248"/>
    </row>
    <row r="415" ht="14.25" customHeight="1">
      <c r="F415" s="173"/>
      <c r="G415" s="173"/>
      <c r="H415" s="173"/>
      <c r="Y415" s="248"/>
      <c r="Z415" s="248"/>
      <c r="AA415" s="248"/>
    </row>
    <row r="416" ht="14.25" customHeight="1">
      <c r="F416" s="173"/>
      <c r="G416" s="173"/>
      <c r="H416" s="173"/>
      <c r="Y416" s="248"/>
      <c r="Z416" s="248"/>
      <c r="AA416" s="248"/>
    </row>
    <row r="417" ht="14.25" customHeight="1">
      <c r="F417" s="173"/>
      <c r="G417" s="173"/>
      <c r="H417" s="173"/>
      <c r="Y417" s="248"/>
      <c r="Z417" s="248"/>
      <c r="AA417" s="248"/>
    </row>
    <row r="418" ht="14.25" customHeight="1">
      <c r="F418" s="173"/>
      <c r="G418" s="173"/>
      <c r="H418" s="173"/>
      <c r="Y418" s="248"/>
      <c r="Z418" s="248"/>
      <c r="AA418" s="248"/>
    </row>
    <row r="419" ht="14.25" customHeight="1">
      <c r="F419" s="173"/>
      <c r="G419" s="173"/>
      <c r="H419" s="173"/>
      <c r="Y419" s="248"/>
      <c r="Z419" s="248"/>
      <c r="AA419" s="248"/>
    </row>
    <row r="420" ht="14.25" customHeight="1">
      <c r="F420" s="173"/>
      <c r="G420" s="173"/>
      <c r="H420" s="173"/>
      <c r="Y420" s="248"/>
      <c r="Z420" s="248"/>
      <c r="AA420" s="248"/>
    </row>
    <row r="421" ht="14.25" customHeight="1">
      <c r="F421" s="173"/>
      <c r="G421" s="173"/>
      <c r="H421" s="173"/>
      <c r="Y421" s="248"/>
      <c r="Z421" s="248"/>
      <c r="AA421" s="248"/>
    </row>
    <row r="422" ht="14.25" customHeight="1">
      <c r="F422" s="173"/>
      <c r="G422" s="173"/>
      <c r="H422" s="173"/>
      <c r="Y422" s="248"/>
      <c r="Z422" s="248"/>
      <c r="AA422" s="248"/>
    </row>
    <row r="423" ht="14.25" customHeight="1">
      <c r="F423" s="173"/>
      <c r="G423" s="173"/>
      <c r="H423" s="173"/>
      <c r="Y423" s="248"/>
      <c r="Z423" s="248"/>
      <c r="AA423" s="248"/>
    </row>
    <row r="424" ht="14.25" customHeight="1">
      <c r="F424" s="173"/>
      <c r="G424" s="173"/>
      <c r="H424" s="173"/>
      <c r="Y424" s="248"/>
      <c r="Z424" s="248"/>
      <c r="AA424" s="248"/>
    </row>
    <row r="425" ht="14.25" customHeight="1">
      <c r="F425" s="173"/>
      <c r="G425" s="173"/>
      <c r="H425" s="173"/>
      <c r="Y425" s="248"/>
      <c r="Z425" s="248"/>
      <c r="AA425" s="248"/>
    </row>
    <row r="426" ht="14.25" customHeight="1">
      <c r="F426" s="173"/>
      <c r="G426" s="173"/>
      <c r="H426" s="173"/>
      <c r="Y426" s="248"/>
      <c r="Z426" s="248"/>
      <c r="AA426" s="248"/>
    </row>
    <row r="427" ht="14.25" customHeight="1">
      <c r="F427" s="173"/>
      <c r="G427" s="173"/>
      <c r="H427" s="173"/>
      <c r="Y427" s="248"/>
      <c r="Z427" s="248"/>
      <c r="AA427" s="248"/>
    </row>
    <row r="428" ht="14.25" customHeight="1">
      <c r="F428" s="173"/>
      <c r="G428" s="173"/>
      <c r="H428" s="173"/>
      <c r="Y428" s="248"/>
      <c r="Z428" s="248"/>
      <c r="AA428" s="248"/>
    </row>
    <row r="429" ht="14.25" customHeight="1">
      <c r="F429" s="173"/>
      <c r="G429" s="173"/>
      <c r="H429" s="173"/>
      <c r="Y429" s="248"/>
      <c r="Z429" s="248"/>
      <c r="AA429" s="248"/>
    </row>
    <row r="430" ht="14.25" customHeight="1">
      <c r="F430" s="173"/>
      <c r="G430" s="173"/>
      <c r="H430" s="173"/>
      <c r="Y430" s="248"/>
      <c r="Z430" s="248"/>
      <c r="AA430" s="248"/>
    </row>
    <row r="431" ht="14.25" customHeight="1">
      <c r="F431" s="173"/>
      <c r="G431" s="173"/>
      <c r="H431" s="173"/>
      <c r="Y431" s="248"/>
      <c r="Z431" s="248"/>
      <c r="AA431" s="248"/>
    </row>
    <row r="432" ht="14.25" customHeight="1">
      <c r="F432" s="173"/>
      <c r="G432" s="173"/>
      <c r="H432" s="173"/>
      <c r="Y432" s="248"/>
      <c r="Z432" s="248"/>
      <c r="AA432" s="248"/>
    </row>
    <row r="433" ht="14.25" customHeight="1">
      <c r="F433" s="173"/>
      <c r="G433" s="173"/>
      <c r="H433" s="173"/>
      <c r="Y433" s="248"/>
      <c r="Z433" s="248"/>
      <c r="AA433" s="248"/>
    </row>
    <row r="434" ht="14.25" customHeight="1">
      <c r="F434" s="173"/>
      <c r="G434" s="173"/>
      <c r="H434" s="173"/>
      <c r="Y434" s="248"/>
      <c r="Z434" s="248"/>
      <c r="AA434" s="248"/>
    </row>
    <row r="435" ht="14.25" customHeight="1">
      <c r="F435" s="173"/>
      <c r="G435" s="173"/>
      <c r="H435" s="173"/>
      <c r="Y435" s="248"/>
      <c r="Z435" s="248"/>
      <c r="AA435" s="248"/>
    </row>
    <row r="436" ht="14.25" customHeight="1">
      <c r="F436" s="173"/>
      <c r="G436" s="173"/>
      <c r="H436" s="173"/>
      <c r="Y436" s="248"/>
      <c r="Z436" s="248"/>
      <c r="AA436" s="248"/>
    </row>
    <row r="437" ht="14.25" customHeight="1">
      <c r="F437" s="173"/>
      <c r="G437" s="173"/>
      <c r="H437" s="173"/>
      <c r="Y437" s="248"/>
      <c r="Z437" s="248"/>
      <c r="AA437" s="248"/>
    </row>
    <row r="438" ht="14.25" customHeight="1">
      <c r="F438" s="173"/>
      <c r="G438" s="173"/>
      <c r="H438" s="173"/>
      <c r="Y438" s="248"/>
      <c r="Z438" s="248"/>
      <c r="AA438" s="248"/>
    </row>
    <row r="439" ht="14.25" customHeight="1">
      <c r="F439" s="173"/>
      <c r="G439" s="173"/>
      <c r="H439" s="173"/>
      <c r="Y439" s="248"/>
      <c r="Z439" s="248"/>
      <c r="AA439" s="248"/>
    </row>
    <row r="440" ht="14.25" customHeight="1">
      <c r="F440" s="173"/>
      <c r="G440" s="173"/>
      <c r="H440" s="173"/>
      <c r="Y440" s="248"/>
      <c r="Z440" s="248"/>
      <c r="AA440" s="248"/>
    </row>
    <row r="441" ht="14.25" customHeight="1">
      <c r="F441" s="173"/>
      <c r="G441" s="173"/>
      <c r="H441" s="173"/>
      <c r="Y441" s="248"/>
      <c r="Z441" s="248"/>
      <c r="AA441" s="248"/>
    </row>
    <row r="442" ht="14.25" customHeight="1">
      <c r="F442" s="173"/>
      <c r="G442" s="173"/>
      <c r="H442" s="173"/>
      <c r="Y442" s="248"/>
      <c r="Z442" s="248"/>
      <c r="AA442" s="248"/>
    </row>
    <row r="443" ht="14.25" customHeight="1">
      <c r="F443" s="173"/>
      <c r="G443" s="173"/>
      <c r="H443" s="173"/>
      <c r="Y443" s="248"/>
      <c r="Z443" s="248"/>
      <c r="AA443" s="248"/>
    </row>
    <row r="444" ht="14.25" customHeight="1">
      <c r="F444" s="173"/>
      <c r="G444" s="173"/>
      <c r="H444" s="173"/>
      <c r="Y444" s="248"/>
      <c r="Z444" s="248"/>
      <c r="AA444" s="248"/>
    </row>
    <row r="445" ht="14.25" customHeight="1">
      <c r="F445" s="173"/>
      <c r="G445" s="173"/>
      <c r="H445" s="173"/>
      <c r="Y445" s="248"/>
      <c r="Z445" s="248"/>
      <c r="AA445" s="248"/>
    </row>
    <row r="446" ht="14.25" customHeight="1">
      <c r="F446" s="173"/>
      <c r="G446" s="173"/>
      <c r="H446" s="173"/>
      <c r="Y446" s="248"/>
      <c r="Z446" s="248"/>
      <c r="AA446" s="248"/>
    </row>
    <row r="447" ht="14.25" customHeight="1">
      <c r="F447" s="173"/>
      <c r="G447" s="173"/>
      <c r="H447" s="173"/>
      <c r="Y447" s="248"/>
      <c r="Z447" s="248"/>
      <c r="AA447" s="248"/>
    </row>
    <row r="448" ht="14.25" customHeight="1">
      <c r="F448" s="173"/>
      <c r="G448" s="173"/>
      <c r="H448" s="173"/>
      <c r="Y448" s="248"/>
      <c r="Z448" s="248"/>
      <c r="AA448" s="248"/>
    </row>
    <row r="449" ht="14.25" customHeight="1">
      <c r="F449" s="173"/>
      <c r="G449" s="173"/>
      <c r="H449" s="173"/>
      <c r="Y449" s="248"/>
      <c r="Z449" s="248"/>
      <c r="AA449" s="248"/>
    </row>
    <row r="450" ht="14.25" customHeight="1">
      <c r="F450" s="173"/>
      <c r="G450" s="173"/>
      <c r="H450" s="173"/>
      <c r="Y450" s="248"/>
      <c r="Z450" s="248"/>
      <c r="AA450" s="248"/>
    </row>
    <row r="451" ht="14.25" customHeight="1">
      <c r="F451" s="173"/>
      <c r="G451" s="173"/>
      <c r="H451" s="173"/>
      <c r="Y451" s="248"/>
      <c r="Z451" s="248"/>
      <c r="AA451" s="248"/>
    </row>
    <row r="452" ht="14.25" customHeight="1">
      <c r="F452" s="173"/>
      <c r="G452" s="173"/>
      <c r="H452" s="173"/>
      <c r="Y452" s="248"/>
      <c r="Z452" s="248"/>
      <c r="AA452" s="248"/>
    </row>
    <row r="453" ht="14.25" customHeight="1">
      <c r="F453" s="173"/>
      <c r="G453" s="173"/>
      <c r="H453" s="173"/>
      <c r="Y453" s="248"/>
      <c r="Z453" s="248"/>
      <c r="AA453" s="248"/>
    </row>
    <row r="454" ht="14.25" customHeight="1">
      <c r="F454" s="173"/>
      <c r="G454" s="173"/>
      <c r="H454" s="173"/>
      <c r="Y454" s="248"/>
      <c r="Z454" s="248"/>
      <c r="AA454" s="248"/>
    </row>
    <row r="455" ht="14.25" customHeight="1">
      <c r="F455" s="173"/>
      <c r="G455" s="173"/>
      <c r="H455" s="173"/>
      <c r="Y455" s="248"/>
      <c r="Z455" s="248"/>
      <c r="AA455" s="248"/>
    </row>
    <row r="456" ht="14.25" customHeight="1">
      <c r="F456" s="173"/>
      <c r="G456" s="173"/>
      <c r="H456" s="173"/>
      <c r="Y456" s="248"/>
      <c r="Z456" s="248"/>
      <c r="AA456" s="248"/>
    </row>
    <row r="457" ht="14.25" customHeight="1">
      <c r="F457" s="173"/>
      <c r="G457" s="173"/>
      <c r="H457" s="173"/>
      <c r="Y457" s="248"/>
      <c r="Z457" s="248"/>
      <c r="AA457" s="248"/>
    </row>
    <row r="458" ht="14.25" customHeight="1">
      <c r="F458" s="173"/>
      <c r="G458" s="173"/>
      <c r="H458" s="173"/>
      <c r="Y458" s="248"/>
      <c r="Z458" s="248"/>
      <c r="AA458" s="248"/>
    </row>
    <row r="459" ht="14.25" customHeight="1">
      <c r="F459" s="173"/>
      <c r="G459" s="173"/>
      <c r="H459" s="173"/>
      <c r="Y459" s="248"/>
      <c r="Z459" s="248"/>
      <c r="AA459" s="248"/>
    </row>
    <row r="460" ht="14.25" customHeight="1">
      <c r="F460" s="173"/>
      <c r="G460" s="173"/>
      <c r="H460" s="173"/>
      <c r="Y460" s="248"/>
      <c r="Z460" s="248"/>
      <c r="AA460" s="248"/>
    </row>
    <row r="461" ht="14.25" customHeight="1">
      <c r="F461" s="173"/>
      <c r="G461" s="173"/>
      <c r="H461" s="173"/>
      <c r="Y461" s="248"/>
      <c r="Z461" s="248"/>
      <c r="AA461" s="248"/>
    </row>
    <row r="462" ht="14.25" customHeight="1">
      <c r="F462" s="173"/>
      <c r="G462" s="173"/>
      <c r="H462" s="173"/>
      <c r="Y462" s="248"/>
      <c r="Z462" s="248"/>
      <c r="AA462" s="248"/>
    </row>
    <row r="463" ht="14.25" customHeight="1">
      <c r="F463" s="173"/>
      <c r="G463" s="173"/>
      <c r="H463" s="173"/>
      <c r="Y463" s="248"/>
      <c r="Z463" s="248"/>
      <c r="AA463" s="248"/>
    </row>
    <row r="464" ht="14.25" customHeight="1">
      <c r="F464" s="173"/>
      <c r="G464" s="173"/>
      <c r="H464" s="173"/>
      <c r="Y464" s="248"/>
      <c r="Z464" s="248"/>
      <c r="AA464" s="248"/>
    </row>
    <row r="465" ht="14.25" customHeight="1">
      <c r="F465" s="173"/>
      <c r="G465" s="173"/>
      <c r="H465" s="173"/>
      <c r="Y465" s="248"/>
      <c r="Z465" s="248"/>
      <c r="AA465" s="248"/>
    </row>
    <row r="466" ht="14.25" customHeight="1">
      <c r="F466" s="173"/>
      <c r="G466" s="173"/>
      <c r="H466" s="173"/>
      <c r="Y466" s="248"/>
      <c r="Z466" s="248"/>
      <c r="AA466" s="248"/>
    </row>
    <row r="467" ht="14.25" customHeight="1">
      <c r="F467" s="173"/>
      <c r="G467" s="173"/>
      <c r="H467" s="173"/>
      <c r="Y467" s="248"/>
      <c r="Z467" s="248"/>
      <c r="AA467" s="248"/>
    </row>
    <row r="468" ht="14.25" customHeight="1">
      <c r="F468" s="173"/>
      <c r="G468" s="173"/>
      <c r="H468" s="173"/>
      <c r="Y468" s="248"/>
      <c r="Z468" s="248"/>
      <c r="AA468" s="248"/>
    </row>
    <row r="469" ht="14.25" customHeight="1">
      <c r="F469" s="173"/>
      <c r="G469" s="173"/>
      <c r="H469" s="173"/>
      <c r="Y469" s="248"/>
      <c r="Z469" s="248"/>
      <c r="AA469" s="248"/>
    </row>
    <row r="470" ht="14.25" customHeight="1">
      <c r="F470" s="173"/>
      <c r="G470" s="173"/>
      <c r="H470" s="173"/>
      <c r="Y470" s="248"/>
      <c r="Z470" s="248"/>
      <c r="AA470" s="248"/>
    </row>
    <row r="471" ht="14.25" customHeight="1">
      <c r="F471" s="173"/>
      <c r="G471" s="173"/>
      <c r="H471" s="173"/>
      <c r="Y471" s="248"/>
      <c r="Z471" s="248"/>
      <c r="AA471" s="248"/>
    </row>
    <row r="472" ht="14.25" customHeight="1">
      <c r="F472" s="173"/>
      <c r="G472" s="173"/>
      <c r="H472" s="173"/>
      <c r="Y472" s="248"/>
      <c r="Z472" s="248"/>
      <c r="AA472" s="248"/>
    </row>
    <row r="473" ht="14.25" customHeight="1">
      <c r="F473" s="173"/>
      <c r="G473" s="173"/>
      <c r="H473" s="173"/>
      <c r="Y473" s="248"/>
      <c r="Z473" s="248"/>
      <c r="AA473" s="248"/>
    </row>
    <row r="474" ht="14.25" customHeight="1">
      <c r="F474" s="173"/>
      <c r="G474" s="173"/>
      <c r="H474" s="173"/>
      <c r="Y474" s="248"/>
      <c r="Z474" s="248"/>
      <c r="AA474" s="248"/>
    </row>
    <row r="475" ht="14.25" customHeight="1">
      <c r="F475" s="173"/>
      <c r="G475" s="173"/>
      <c r="H475" s="173"/>
      <c r="Y475" s="248"/>
      <c r="Z475" s="248"/>
      <c r="AA475" s="248"/>
    </row>
    <row r="476" ht="14.25" customHeight="1">
      <c r="F476" s="173"/>
      <c r="G476" s="173"/>
      <c r="H476" s="173"/>
      <c r="Y476" s="248"/>
      <c r="Z476" s="248"/>
      <c r="AA476" s="248"/>
    </row>
    <row r="477" ht="14.25" customHeight="1">
      <c r="F477" s="173"/>
      <c r="G477" s="173"/>
      <c r="H477" s="173"/>
      <c r="Y477" s="248"/>
      <c r="Z477" s="248"/>
      <c r="AA477" s="248"/>
    </row>
    <row r="478" ht="14.25" customHeight="1">
      <c r="F478" s="173"/>
      <c r="G478" s="173"/>
      <c r="H478" s="173"/>
      <c r="Y478" s="248"/>
      <c r="Z478" s="248"/>
      <c r="AA478" s="248"/>
    </row>
    <row r="479" ht="14.25" customHeight="1">
      <c r="F479" s="173"/>
      <c r="G479" s="173"/>
      <c r="H479" s="173"/>
      <c r="Y479" s="248"/>
      <c r="Z479" s="248"/>
      <c r="AA479" s="248"/>
    </row>
    <row r="480" ht="14.25" customHeight="1">
      <c r="F480" s="173"/>
      <c r="G480" s="173"/>
      <c r="H480" s="173"/>
      <c r="Y480" s="248"/>
      <c r="Z480" s="248"/>
      <c r="AA480" s="248"/>
    </row>
    <row r="481" ht="14.25" customHeight="1">
      <c r="F481" s="173"/>
      <c r="G481" s="173"/>
      <c r="H481" s="173"/>
      <c r="Y481" s="248"/>
      <c r="Z481" s="248"/>
      <c r="AA481" s="248"/>
    </row>
    <row r="482" ht="14.25" customHeight="1">
      <c r="F482" s="173"/>
      <c r="G482" s="173"/>
      <c r="H482" s="173"/>
      <c r="Y482" s="248"/>
      <c r="Z482" s="248"/>
      <c r="AA482" s="248"/>
    </row>
    <row r="483" ht="14.25" customHeight="1">
      <c r="F483" s="173"/>
      <c r="G483" s="173"/>
      <c r="H483" s="173"/>
      <c r="Y483" s="248"/>
      <c r="Z483" s="248"/>
      <c r="AA483" s="248"/>
    </row>
    <row r="484" ht="14.25" customHeight="1">
      <c r="F484" s="173"/>
      <c r="G484" s="173"/>
      <c r="H484" s="173"/>
      <c r="Y484" s="248"/>
      <c r="Z484" s="248"/>
      <c r="AA484" s="248"/>
    </row>
    <row r="485" ht="14.25" customHeight="1">
      <c r="F485" s="173"/>
      <c r="G485" s="173"/>
      <c r="H485" s="173"/>
      <c r="Y485" s="248"/>
      <c r="Z485" s="248"/>
      <c r="AA485" s="248"/>
    </row>
    <row r="486" ht="14.25" customHeight="1">
      <c r="F486" s="173"/>
      <c r="G486" s="173"/>
      <c r="H486" s="173"/>
      <c r="Y486" s="248"/>
      <c r="Z486" s="248"/>
      <c r="AA486" s="248"/>
    </row>
    <row r="487" ht="14.25" customHeight="1">
      <c r="F487" s="173"/>
      <c r="G487" s="173"/>
      <c r="H487" s="173"/>
      <c r="Y487" s="248"/>
      <c r="Z487" s="248"/>
      <c r="AA487" s="248"/>
    </row>
    <row r="488" ht="14.25" customHeight="1">
      <c r="F488" s="173"/>
      <c r="G488" s="173"/>
      <c r="H488" s="173"/>
      <c r="Y488" s="248"/>
      <c r="Z488" s="248"/>
      <c r="AA488" s="248"/>
    </row>
    <row r="489" ht="14.25" customHeight="1">
      <c r="F489" s="173"/>
      <c r="G489" s="173"/>
      <c r="H489" s="173"/>
      <c r="Y489" s="248"/>
      <c r="Z489" s="248"/>
      <c r="AA489" s="248"/>
    </row>
    <row r="490" ht="14.25" customHeight="1">
      <c r="F490" s="173"/>
      <c r="G490" s="173"/>
      <c r="H490" s="173"/>
      <c r="Y490" s="248"/>
      <c r="Z490" s="248"/>
      <c r="AA490" s="248"/>
    </row>
    <row r="491" ht="14.25" customHeight="1">
      <c r="F491" s="173"/>
      <c r="G491" s="173"/>
      <c r="H491" s="173"/>
      <c r="Y491" s="248"/>
      <c r="Z491" s="248"/>
      <c r="AA491" s="248"/>
    </row>
    <row r="492" ht="14.25" customHeight="1">
      <c r="F492" s="173"/>
      <c r="G492" s="173"/>
      <c r="H492" s="173"/>
      <c r="Y492" s="248"/>
      <c r="Z492" s="248"/>
      <c r="AA492" s="248"/>
    </row>
    <row r="493" ht="14.25" customHeight="1">
      <c r="F493" s="173"/>
      <c r="G493" s="173"/>
      <c r="H493" s="173"/>
      <c r="Y493" s="248"/>
      <c r="Z493" s="248"/>
      <c r="AA493" s="248"/>
    </row>
    <row r="494" ht="14.25" customHeight="1">
      <c r="F494" s="173"/>
      <c r="G494" s="173"/>
      <c r="H494" s="173"/>
      <c r="Y494" s="248"/>
      <c r="Z494" s="248"/>
      <c r="AA494" s="248"/>
    </row>
    <row r="495" ht="14.25" customHeight="1">
      <c r="F495" s="173"/>
      <c r="G495" s="173"/>
      <c r="H495" s="173"/>
      <c r="Y495" s="248"/>
      <c r="Z495" s="248"/>
      <c r="AA495" s="248"/>
    </row>
    <row r="496" ht="14.25" customHeight="1">
      <c r="F496" s="173"/>
      <c r="G496" s="173"/>
      <c r="H496" s="173"/>
      <c r="Y496" s="248"/>
      <c r="Z496" s="248"/>
      <c r="AA496" s="248"/>
    </row>
    <row r="497" ht="14.25" customHeight="1">
      <c r="F497" s="173"/>
      <c r="G497" s="173"/>
      <c r="H497" s="173"/>
      <c r="Y497" s="248"/>
      <c r="Z497" s="248"/>
      <c r="AA497" s="248"/>
    </row>
    <row r="498" ht="14.25" customHeight="1">
      <c r="F498" s="173"/>
      <c r="G498" s="173"/>
      <c r="H498" s="173"/>
      <c r="Y498" s="248"/>
      <c r="Z498" s="248"/>
      <c r="AA498" s="248"/>
    </row>
    <row r="499" ht="14.25" customHeight="1">
      <c r="F499" s="173"/>
      <c r="G499" s="173"/>
      <c r="H499" s="173"/>
      <c r="Y499" s="248"/>
      <c r="Z499" s="248"/>
      <c r="AA499" s="248"/>
    </row>
    <row r="500" ht="14.25" customHeight="1">
      <c r="F500" s="173"/>
      <c r="G500" s="173"/>
      <c r="H500" s="173"/>
      <c r="Y500" s="248"/>
      <c r="Z500" s="248"/>
      <c r="AA500" s="248"/>
    </row>
    <row r="501" ht="14.25" customHeight="1">
      <c r="F501" s="173"/>
      <c r="G501" s="173"/>
      <c r="H501" s="173"/>
      <c r="Y501" s="248"/>
      <c r="Z501" s="248"/>
      <c r="AA501" s="248"/>
    </row>
    <row r="502" ht="14.25" customHeight="1">
      <c r="F502" s="173"/>
      <c r="G502" s="173"/>
      <c r="H502" s="173"/>
      <c r="Y502" s="248"/>
      <c r="Z502" s="248"/>
      <c r="AA502" s="248"/>
    </row>
    <row r="503" ht="14.25" customHeight="1">
      <c r="F503" s="173"/>
      <c r="G503" s="173"/>
      <c r="H503" s="173"/>
      <c r="Y503" s="248"/>
      <c r="Z503" s="248"/>
      <c r="AA503" s="248"/>
    </row>
    <row r="504" ht="14.25" customHeight="1">
      <c r="F504" s="173"/>
      <c r="G504" s="173"/>
      <c r="H504" s="173"/>
      <c r="Y504" s="248"/>
      <c r="Z504" s="248"/>
      <c r="AA504" s="248"/>
    </row>
    <row r="505" ht="14.25" customHeight="1">
      <c r="F505" s="173"/>
      <c r="G505" s="173"/>
      <c r="H505" s="173"/>
      <c r="Y505" s="248"/>
      <c r="Z505" s="248"/>
      <c r="AA505" s="248"/>
    </row>
    <row r="506" ht="14.25" customHeight="1">
      <c r="F506" s="173"/>
      <c r="G506" s="173"/>
      <c r="H506" s="173"/>
      <c r="Y506" s="248"/>
      <c r="Z506" s="248"/>
      <c r="AA506" s="248"/>
    </row>
    <row r="507" ht="14.25" customHeight="1">
      <c r="F507" s="173"/>
      <c r="G507" s="173"/>
      <c r="H507" s="173"/>
      <c r="Y507" s="248"/>
      <c r="Z507" s="248"/>
      <c r="AA507" s="248"/>
    </row>
    <row r="508" ht="14.25" customHeight="1">
      <c r="F508" s="173"/>
      <c r="G508" s="173"/>
      <c r="H508" s="173"/>
      <c r="Y508" s="248"/>
      <c r="Z508" s="248"/>
      <c r="AA508" s="248"/>
    </row>
    <row r="509" ht="14.25" customHeight="1">
      <c r="F509" s="173"/>
      <c r="G509" s="173"/>
      <c r="H509" s="173"/>
      <c r="Y509" s="248"/>
      <c r="Z509" s="248"/>
      <c r="AA509" s="248"/>
    </row>
    <row r="510" ht="14.25" customHeight="1">
      <c r="F510" s="173"/>
      <c r="G510" s="173"/>
      <c r="H510" s="173"/>
      <c r="Y510" s="248"/>
      <c r="Z510" s="248"/>
      <c r="AA510" s="248"/>
    </row>
    <row r="511" ht="14.25" customHeight="1">
      <c r="F511" s="173"/>
      <c r="G511" s="173"/>
      <c r="H511" s="173"/>
      <c r="Y511" s="248"/>
      <c r="Z511" s="248"/>
      <c r="AA511" s="248"/>
    </row>
    <row r="512" ht="14.25" customHeight="1">
      <c r="F512" s="173"/>
      <c r="G512" s="173"/>
      <c r="H512" s="173"/>
      <c r="Y512" s="248"/>
      <c r="Z512" s="248"/>
      <c r="AA512" s="248"/>
    </row>
    <row r="513" ht="14.25" customHeight="1">
      <c r="F513" s="173"/>
      <c r="G513" s="173"/>
      <c r="H513" s="173"/>
      <c r="Y513" s="248"/>
      <c r="Z513" s="248"/>
      <c r="AA513" s="248"/>
    </row>
    <row r="514" ht="14.25" customHeight="1">
      <c r="F514" s="173"/>
      <c r="G514" s="173"/>
      <c r="H514" s="173"/>
      <c r="Y514" s="248"/>
      <c r="Z514" s="248"/>
      <c r="AA514" s="248"/>
    </row>
    <row r="515" ht="14.25" customHeight="1">
      <c r="F515" s="173"/>
      <c r="G515" s="173"/>
      <c r="H515" s="173"/>
      <c r="Y515" s="248"/>
      <c r="Z515" s="248"/>
      <c r="AA515" s="248"/>
    </row>
    <row r="516" ht="14.25" customHeight="1">
      <c r="F516" s="173"/>
      <c r="G516" s="173"/>
      <c r="H516" s="173"/>
      <c r="Y516" s="248"/>
      <c r="Z516" s="248"/>
      <c r="AA516" s="248"/>
    </row>
    <row r="517" ht="14.25" customHeight="1">
      <c r="F517" s="173"/>
      <c r="G517" s="173"/>
      <c r="H517" s="173"/>
      <c r="Y517" s="248"/>
      <c r="Z517" s="248"/>
      <c r="AA517" s="248"/>
    </row>
    <row r="518" ht="14.25" customHeight="1">
      <c r="F518" s="173"/>
      <c r="G518" s="173"/>
      <c r="H518" s="173"/>
      <c r="Y518" s="248"/>
      <c r="Z518" s="248"/>
      <c r="AA518" s="248"/>
    </row>
    <row r="519" ht="14.25" customHeight="1">
      <c r="F519" s="173"/>
      <c r="G519" s="173"/>
      <c r="H519" s="173"/>
      <c r="Y519" s="248"/>
      <c r="Z519" s="248"/>
      <c r="AA519" s="248"/>
    </row>
    <row r="520" ht="14.25" customHeight="1">
      <c r="F520" s="173"/>
      <c r="G520" s="173"/>
      <c r="H520" s="173"/>
      <c r="Y520" s="248"/>
      <c r="Z520" s="248"/>
      <c r="AA520" s="248"/>
    </row>
    <row r="521" ht="14.25" customHeight="1">
      <c r="F521" s="173"/>
      <c r="G521" s="173"/>
      <c r="H521" s="173"/>
      <c r="Y521" s="248"/>
      <c r="Z521" s="248"/>
      <c r="AA521" s="248"/>
    </row>
    <row r="522" ht="14.25" customHeight="1">
      <c r="F522" s="173"/>
      <c r="G522" s="173"/>
      <c r="H522" s="173"/>
      <c r="Y522" s="248"/>
      <c r="Z522" s="248"/>
      <c r="AA522" s="248"/>
    </row>
    <row r="523" ht="14.25" customHeight="1">
      <c r="F523" s="173"/>
      <c r="G523" s="173"/>
      <c r="H523" s="173"/>
      <c r="Y523" s="248"/>
      <c r="Z523" s="248"/>
      <c r="AA523" s="248"/>
    </row>
    <row r="524" ht="14.25" customHeight="1">
      <c r="F524" s="173"/>
      <c r="G524" s="173"/>
      <c r="H524" s="173"/>
      <c r="Y524" s="248"/>
      <c r="Z524" s="248"/>
      <c r="AA524" s="248"/>
    </row>
    <row r="525" ht="14.25" customHeight="1">
      <c r="F525" s="173"/>
      <c r="G525" s="173"/>
      <c r="H525" s="173"/>
      <c r="Y525" s="248"/>
      <c r="Z525" s="248"/>
      <c r="AA525" s="248"/>
    </row>
    <row r="526" ht="14.25" customHeight="1">
      <c r="F526" s="173"/>
      <c r="G526" s="173"/>
      <c r="H526" s="173"/>
      <c r="Y526" s="248"/>
      <c r="Z526" s="248"/>
      <c r="AA526" s="248"/>
    </row>
    <row r="527" ht="14.25" customHeight="1">
      <c r="F527" s="173"/>
      <c r="G527" s="173"/>
      <c r="H527" s="173"/>
      <c r="Y527" s="248"/>
      <c r="Z527" s="248"/>
      <c r="AA527" s="248"/>
    </row>
    <row r="528" ht="14.25" customHeight="1">
      <c r="F528" s="173"/>
      <c r="G528" s="173"/>
      <c r="H528" s="173"/>
      <c r="Y528" s="248"/>
      <c r="Z528" s="248"/>
      <c r="AA528" s="248"/>
    </row>
    <row r="529" ht="14.25" customHeight="1">
      <c r="F529" s="173"/>
      <c r="G529" s="173"/>
      <c r="H529" s="173"/>
      <c r="Y529" s="248"/>
      <c r="Z529" s="248"/>
      <c r="AA529" s="248"/>
    </row>
    <row r="530" ht="14.25" customHeight="1">
      <c r="F530" s="173"/>
      <c r="G530" s="173"/>
      <c r="H530" s="173"/>
      <c r="Y530" s="248"/>
      <c r="Z530" s="248"/>
      <c r="AA530" s="248"/>
    </row>
    <row r="531" ht="14.25" customHeight="1">
      <c r="F531" s="173"/>
      <c r="G531" s="173"/>
      <c r="H531" s="173"/>
      <c r="Y531" s="248"/>
      <c r="Z531" s="248"/>
      <c r="AA531" s="248"/>
    </row>
    <row r="532" ht="14.25" customHeight="1">
      <c r="F532" s="173"/>
      <c r="G532" s="173"/>
      <c r="H532" s="173"/>
      <c r="Y532" s="248"/>
      <c r="Z532" s="248"/>
      <c r="AA532" s="248"/>
    </row>
    <row r="533" ht="14.25" customHeight="1">
      <c r="F533" s="173"/>
      <c r="G533" s="173"/>
      <c r="H533" s="173"/>
      <c r="Y533" s="248"/>
      <c r="Z533" s="248"/>
      <c r="AA533" s="248"/>
    </row>
    <row r="534" ht="14.25" customHeight="1">
      <c r="F534" s="173"/>
      <c r="G534" s="173"/>
      <c r="H534" s="173"/>
      <c r="Y534" s="248"/>
      <c r="Z534" s="248"/>
      <c r="AA534" s="248"/>
    </row>
    <row r="535" ht="14.25" customHeight="1">
      <c r="F535" s="173"/>
      <c r="G535" s="173"/>
      <c r="H535" s="173"/>
      <c r="Y535" s="248"/>
      <c r="Z535" s="248"/>
      <c r="AA535" s="248"/>
    </row>
    <row r="536" ht="14.25" customHeight="1">
      <c r="F536" s="173"/>
      <c r="G536" s="173"/>
      <c r="H536" s="173"/>
      <c r="Y536" s="248"/>
      <c r="Z536" s="248"/>
      <c r="AA536" s="248"/>
    </row>
    <row r="537" ht="14.25" customHeight="1">
      <c r="F537" s="173"/>
      <c r="G537" s="173"/>
      <c r="H537" s="173"/>
      <c r="Y537" s="248"/>
      <c r="Z537" s="248"/>
      <c r="AA537" s="248"/>
    </row>
    <row r="538" ht="14.25" customHeight="1">
      <c r="F538" s="173"/>
      <c r="G538" s="173"/>
      <c r="H538" s="173"/>
      <c r="Y538" s="248"/>
      <c r="Z538" s="248"/>
      <c r="AA538" s="248"/>
    </row>
    <row r="539" ht="14.25" customHeight="1">
      <c r="F539" s="173"/>
      <c r="G539" s="173"/>
      <c r="H539" s="173"/>
      <c r="Y539" s="248"/>
      <c r="Z539" s="248"/>
      <c r="AA539" s="248"/>
    </row>
    <row r="540" ht="14.25" customHeight="1">
      <c r="F540" s="173"/>
      <c r="G540" s="173"/>
      <c r="H540" s="173"/>
      <c r="Y540" s="248"/>
      <c r="Z540" s="248"/>
      <c r="AA540" s="248"/>
    </row>
    <row r="541" ht="14.25" customHeight="1">
      <c r="F541" s="173"/>
      <c r="G541" s="173"/>
      <c r="H541" s="173"/>
      <c r="Y541" s="248"/>
      <c r="Z541" s="248"/>
      <c r="AA541" s="248"/>
    </row>
    <row r="542" ht="14.25" customHeight="1">
      <c r="F542" s="173"/>
      <c r="G542" s="173"/>
      <c r="H542" s="173"/>
      <c r="Y542" s="248"/>
      <c r="Z542" s="248"/>
      <c r="AA542" s="248"/>
    </row>
    <row r="543" ht="14.25" customHeight="1">
      <c r="F543" s="173"/>
      <c r="G543" s="173"/>
      <c r="H543" s="173"/>
      <c r="Y543" s="248"/>
      <c r="Z543" s="248"/>
      <c r="AA543" s="248"/>
    </row>
    <row r="544" ht="14.25" customHeight="1">
      <c r="F544" s="173"/>
      <c r="G544" s="173"/>
      <c r="H544" s="173"/>
      <c r="Y544" s="248"/>
      <c r="Z544" s="248"/>
      <c r="AA544" s="248"/>
    </row>
    <row r="545" ht="14.25" customHeight="1">
      <c r="F545" s="173"/>
      <c r="G545" s="173"/>
      <c r="H545" s="173"/>
      <c r="Y545" s="248"/>
      <c r="Z545" s="248"/>
      <c r="AA545" s="248"/>
    </row>
    <row r="546" ht="14.25" customHeight="1">
      <c r="F546" s="173"/>
      <c r="G546" s="173"/>
      <c r="H546" s="173"/>
      <c r="Y546" s="248"/>
      <c r="Z546" s="248"/>
      <c r="AA546" s="248"/>
    </row>
    <row r="547" ht="14.25" customHeight="1">
      <c r="F547" s="173"/>
      <c r="G547" s="173"/>
      <c r="H547" s="173"/>
      <c r="Y547" s="248"/>
      <c r="Z547" s="248"/>
      <c r="AA547" s="248"/>
    </row>
    <row r="548" ht="14.25" customHeight="1">
      <c r="F548" s="173"/>
      <c r="G548" s="173"/>
      <c r="H548" s="173"/>
      <c r="Y548" s="248"/>
      <c r="Z548" s="248"/>
      <c r="AA548" s="248"/>
    </row>
    <row r="549" ht="14.25" customHeight="1">
      <c r="F549" s="173"/>
      <c r="G549" s="173"/>
      <c r="H549" s="173"/>
      <c r="Y549" s="248"/>
      <c r="Z549" s="248"/>
      <c r="AA549" s="248"/>
    </row>
    <row r="550" ht="14.25" customHeight="1">
      <c r="F550" s="173"/>
      <c r="G550" s="173"/>
      <c r="H550" s="173"/>
      <c r="Y550" s="248"/>
      <c r="Z550" s="248"/>
      <c r="AA550" s="248"/>
    </row>
    <row r="551" ht="14.25" customHeight="1">
      <c r="F551" s="173"/>
      <c r="G551" s="173"/>
      <c r="H551" s="173"/>
      <c r="Y551" s="248"/>
      <c r="Z551" s="248"/>
      <c r="AA551" s="248"/>
    </row>
    <row r="552" ht="14.25" customHeight="1">
      <c r="F552" s="173"/>
      <c r="G552" s="173"/>
      <c r="H552" s="173"/>
      <c r="Y552" s="248"/>
      <c r="Z552" s="248"/>
      <c r="AA552" s="248"/>
    </row>
    <row r="553" ht="14.25" customHeight="1">
      <c r="F553" s="173"/>
      <c r="G553" s="173"/>
      <c r="H553" s="173"/>
      <c r="Y553" s="248"/>
      <c r="Z553" s="248"/>
      <c r="AA553" s="248"/>
    </row>
    <row r="554" ht="14.25" customHeight="1">
      <c r="F554" s="173"/>
      <c r="G554" s="173"/>
      <c r="H554" s="173"/>
      <c r="Y554" s="248"/>
      <c r="Z554" s="248"/>
      <c r="AA554" s="248"/>
    </row>
    <row r="555" ht="14.25" customHeight="1">
      <c r="F555" s="173"/>
      <c r="G555" s="173"/>
      <c r="H555" s="173"/>
      <c r="Y555" s="248"/>
      <c r="Z555" s="248"/>
      <c r="AA555" s="248"/>
    </row>
    <row r="556" ht="14.25" customHeight="1">
      <c r="F556" s="173"/>
      <c r="G556" s="173"/>
      <c r="H556" s="173"/>
      <c r="Y556" s="248"/>
      <c r="Z556" s="248"/>
      <c r="AA556" s="248"/>
    </row>
    <row r="557" ht="14.25" customHeight="1">
      <c r="F557" s="173"/>
      <c r="G557" s="173"/>
      <c r="H557" s="173"/>
      <c r="Y557" s="248"/>
      <c r="Z557" s="248"/>
      <c r="AA557" s="248"/>
    </row>
    <row r="558" ht="14.25" customHeight="1">
      <c r="F558" s="173"/>
      <c r="G558" s="173"/>
      <c r="H558" s="173"/>
      <c r="Y558" s="248"/>
      <c r="Z558" s="248"/>
      <c r="AA558" s="248"/>
    </row>
    <row r="559" ht="14.25" customHeight="1">
      <c r="F559" s="173"/>
      <c r="G559" s="173"/>
      <c r="H559" s="173"/>
      <c r="Y559" s="248"/>
      <c r="Z559" s="248"/>
      <c r="AA559" s="248"/>
    </row>
    <row r="560" ht="14.25" customHeight="1">
      <c r="F560" s="173"/>
      <c r="G560" s="173"/>
      <c r="H560" s="173"/>
      <c r="Y560" s="248"/>
      <c r="Z560" s="248"/>
      <c r="AA560" s="248"/>
    </row>
    <row r="561" ht="14.25" customHeight="1">
      <c r="F561" s="173"/>
      <c r="G561" s="173"/>
      <c r="H561" s="173"/>
      <c r="Y561" s="248"/>
      <c r="Z561" s="248"/>
      <c r="AA561" s="248"/>
    </row>
    <row r="562" ht="14.25" customHeight="1">
      <c r="F562" s="173"/>
      <c r="G562" s="173"/>
      <c r="H562" s="173"/>
      <c r="Y562" s="248"/>
      <c r="Z562" s="248"/>
      <c r="AA562" s="248"/>
    </row>
    <row r="563" ht="14.25" customHeight="1">
      <c r="F563" s="173"/>
      <c r="G563" s="173"/>
      <c r="H563" s="173"/>
      <c r="Y563" s="248"/>
      <c r="Z563" s="248"/>
      <c r="AA563" s="248"/>
    </row>
    <row r="564" ht="14.25" customHeight="1">
      <c r="F564" s="173"/>
      <c r="G564" s="173"/>
      <c r="H564" s="173"/>
      <c r="Y564" s="248"/>
      <c r="Z564" s="248"/>
      <c r="AA564" s="248"/>
    </row>
    <row r="565" ht="14.25" customHeight="1">
      <c r="F565" s="173"/>
      <c r="G565" s="173"/>
      <c r="H565" s="173"/>
      <c r="Y565" s="248"/>
      <c r="Z565" s="248"/>
      <c r="AA565" s="248"/>
    </row>
    <row r="566" ht="14.25" customHeight="1">
      <c r="F566" s="173"/>
      <c r="G566" s="173"/>
      <c r="H566" s="173"/>
      <c r="Y566" s="248"/>
      <c r="Z566" s="248"/>
      <c r="AA566" s="248"/>
    </row>
    <row r="567" ht="14.25" customHeight="1">
      <c r="F567" s="173"/>
      <c r="G567" s="173"/>
      <c r="H567" s="173"/>
      <c r="Y567" s="248"/>
      <c r="Z567" s="248"/>
      <c r="AA567" s="248"/>
    </row>
    <row r="568" ht="14.25" customHeight="1">
      <c r="F568" s="173"/>
      <c r="G568" s="173"/>
      <c r="H568" s="173"/>
      <c r="Y568" s="248"/>
      <c r="Z568" s="248"/>
      <c r="AA568" s="248"/>
    </row>
    <row r="569" ht="14.25" customHeight="1">
      <c r="F569" s="173"/>
      <c r="G569" s="173"/>
      <c r="H569" s="173"/>
      <c r="Y569" s="248"/>
      <c r="Z569" s="248"/>
      <c r="AA569" s="248"/>
    </row>
    <row r="570" ht="14.25" customHeight="1">
      <c r="F570" s="173"/>
      <c r="G570" s="173"/>
      <c r="H570" s="173"/>
      <c r="Y570" s="248"/>
      <c r="Z570" s="248"/>
      <c r="AA570" s="248"/>
    </row>
    <row r="571" ht="14.25" customHeight="1">
      <c r="F571" s="173"/>
      <c r="G571" s="173"/>
      <c r="H571" s="173"/>
      <c r="Y571" s="248"/>
      <c r="Z571" s="248"/>
      <c r="AA571" s="248"/>
    </row>
    <row r="572" ht="14.25" customHeight="1">
      <c r="F572" s="173"/>
      <c r="G572" s="173"/>
      <c r="H572" s="173"/>
      <c r="Y572" s="248"/>
      <c r="Z572" s="248"/>
      <c r="AA572" s="248"/>
    </row>
    <row r="573" ht="14.25" customHeight="1">
      <c r="F573" s="173"/>
      <c r="G573" s="173"/>
      <c r="H573" s="173"/>
      <c r="Y573" s="248"/>
      <c r="Z573" s="248"/>
      <c r="AA573" s="248"/>
    </row>
    <row r="574" ht="14.25" customHeight="1">
      <c r="F574" s="173"/>
      <c r="G574" s="173"/>
      <c r="H574" s="173"/>
      <c r="Y574" s="248"/>
      <c r="Z574" s="248"/>
      <c r="AA574" s="248"/>
    </row>
    <row r="575" ht="14.25" customHeight="1">
      <c r="F575" s="173"/>
      <c r="G575" s="173"/>
      <c r="H575" s="173"/>
      <c r="Y575" s="248"/>
      <c r="Z575" s="248"/>
      <c r="AA575" s="248"/>
    </row>
    <row r="576" ht="14.25" customHeight="1">
      <c r="F576" s="173"/>
      <c r="G576" s="173"/>
      <c r="H576" s="173"/>
      <c r="Y576" s="248"/>
      <c r="Z576" s="248"/>
      <c r="AA576" s="248"/>
    </row>
    <row r="577" ht="14.25" customHeight="1">
      <c r="F577" s="173"/>
      <c r="G577" s="173"/>
      <c r="H577" s="173"/>
      <c r="Y577" s="248"/>
      <c r="Z577" s="248"/>
      <c r="AA577" s="248"/>
    </row>
    <row r="578" ht="14.25" customHeight="1">
      <c r="F578" s="173"/>
      <c r="G578" s="173"/>
      <c r="H578" s="173"/>
      <c r="Y578" s="248"/>
      <c r="Z578" s="248"/>
      <c r="AA578" s="248"/>
    </row>
    <row r="579" ht="14.25" customHeight="1">
      <c r="F579" s="173"/>
      <c r="G579" s="173"/>
      <c r="H579" s="173"/>
      <c r="Y579" s="248"/>
      <c r="Z579" s="248"/>
      <c r="AA579" s="248"/>
    </row>
    <row r="580" ht="14.25" customHeight="1">
      <c r="F580" s="173"/>
      <c r="G580" s="173"/>
      <c r="H580" s="173"/>
      <c r="Y580" s="248"/>
      <c r="Z580" s="248"/>
      <c r="AA580" s="248"/>
    </row>
    <row r="581" ht="14.25" customHeight="1">
      <c r="F581" s="173"/>
      <c r="G581" s="173"/>
      <c r="H581" s="173"/>
      <c r="Y581" s="248"/>
      <c r="Z581" s="248"/>
      <c r="AA581" s="248"/>
    </row>
    <row r="582" ht="14.25" customHeight="1">
      <c r="F582" s="173"/>
      <c r="G582" s="173"/>
      <c r="H582" s="173"/>
      <c r="Y582" s="248"/>
      <c r="Z582" s="248"/>
      <c r="AA582" s="248"/>
    </row>
    <row r="583" ht="14.25" customHeight="1">
      <c r="F583" s="173"/>
      <c r="G583" s="173"/>
      <c r="H583" s="173"/>
      <c r="Y583" s="248"/>
      <c r="Z583" s="248"/>
      <c r="AA583" s="248"/>
    </row>
    <row r="584" ht="14.25" customHeight="1">
      <c r="F584" s="173"/>
      <c r="G584" s="173"/>
      <c r="H584" s="173"/>
      <c r="Y584" s="248"/>
      <c r="Z584" s="248"/>
      <c r="AA584" s="248"/>
    </row>
    <row r="585" ht="14.25" customHeight="1">
      <c r="F585" s="173"/>
      <c r="G585" s="173"/>
      <c r="H585" s="173"/>
      <c r="Y585" s="248"/>
      <c r="Z585" s="248"/>
      <c r="AA585" s="248"/>
    </row>
    <row r="586" ht="14.25" customHeight="1">
      <c r="F586" s="173"/>
      <c r="G586" s="173"/>
      <c r="H586" s="173"/>
      <c r="Y586" s="248"/>
      <c r="Z586" s="248"/>
      <c r="AA586" s="248"/>
    </row>
    <row r="587" ht="14.25" customHeight="1">
      <c r="F587" s="173"/>
      <c r="G587" s="173"/>
      <c r="H587" s="173"/>
      <c r="Y587" s="248"/>
      <c r="Z587" s="248"/>
      <c r="AA587" s="248"/>
    </row>
    <row r="588" ht="14.25" customHeight="1">
      <c r="F588" s="173"/>
      <c r="G588" s="173"/>
      <c r="H588" s="173"/>
      <c r="Y588" s="248"/>
      <c r="Z588" s="248"/>
      <c r="AA588" s="248"/>
    </row>
    <row r="589" ht="14.25" customHeight="1">
      <c r="F589" s="173"/>
      <c r="G589" s="173"/>
      <c r="H589" s="173"/>
      <c r="Y589" s="248"/>
      <c r="Z589" s="248"/>
      <c r="AA589" s="248"/>
    </row>
    <row r="590" ht="14.25" customHeight="1">
      <c r="F590" s="173"/>
      <c r="G590" s="173"/>
      <c r="H590" s="173"/>
      <c r="Y590" s="248"/>
      <c r="Z590" s="248"/>
      <c r="AA590" s="248"/>
    </row>
    <row r="591" ht="14.25" customHeight="1">
      <c r="F591" s="173"/>
      <c r="G591" s="173"/>
      <c r="H591" s="173"/>
      <c r="Y591" s="248"/>
      <c r="Z591" s="248"/>
      <c r="AA591" s="248"/>
    </row>
    <row r="592" ht="14.25" customHeight="1">
      <c r="F592" s="173"/>
      <c r="G592" s="173"/>
      <c r="H592" s="173"/>
      <c r="Y592" s="248"/>
      <c r="Z592" s="248"/>
      <c r="AA592" s="248"/>
    </row>
    <row r="593" ht="14.25" customHeight="1">
      <c r="F593" s="173"/>
      <c r="G593" s="173"/>
      <c r="H593" s="173"/>
      <c r="Y593" s="248"/>
      <c r="Z593" s="248"/>
      <c r="AA593" s="248"/>
    </row>
    <row r="594" ht="14.25" customHeight="1">
      <c r="F594" s="173"/>
      <c r="G594" s="173"/>
      <c r="H594" s="173"/>
      <c r="Y594" s="248"/>
      <c r="Z594" s="248"/>
      <c r="AA594" s="248"/>
    </row>
    <row r="595" ht="14.25" customHeight="1">
      <c r="F595" s="173"/>
      <c r="G595" s="173"/>
      <c r="H595" s="173"/>
      <c r="Y595" s="248"/>
      <c r="Z595" s="248"/>
      <c r="AA595" s="248"/>
    </row>
    <row r="596" ht="14.25" customHeight="1">
      <c r="F596" s="173"/>
      <c r="G596" s="173"/>
      <c r="H596" s="173"/>
      <c r="Y596" s="248"/>
      <c r="Z596" s="248"/>
      <c r="AA596" s="248"/>
    </row>
    <row r="597" ht="14.25" customHeight="1">
      <c r="F597" s="173"/>
      <c r="G597" s="173"/>
      <c r="H597" s="173"/>
      <c r="Y597" s="248"/>
      <c r="Z597" s="248"/>
      <c r="AA597" s="248"/>
    </row>
    <row r="598" ht="14.25" customHeight="1">
      <c r="F598" s="173"/>
      <c r="G598" s="173"/>
      <c r="H598" s="173"/>
      <c r="Y598" s="248"/>
      <c r="Z598" s="248"/>
      <c r="AA598" s="248"/>
    </row>
    <row r="599" ht="14.25" customHeight="1">
      <c r="F599" s="173"/>
      <c r="G599" s="173"/>
      <c r="H599" s="173"/>
      <c r="Y599" s="248"/>
      <c r="Z599" s="248"/>
      <c r="AA599" s="248"/>
    </row>
    <row r="600" ht="14.25" customHeight="1">
      <c r="F600" s="173"/>
      <c r="G600" s="173"/>
      <c r="H600" s="173"/>
      <c r="Y600" s="248"/>
      <c r="Z600" s="248"/>
      <c r="AA600" s="248"/>
    </row>
    <row r="601" ht="14.25" customHeight="1">
      <c r="F601" s="173"/>
      <c r="G601" s="173"/>
      <c r="H601" s="173"/>
      <c r="Y601" s="248"/>
      <c r="Z601" s="248"/>
      <c r="AA601" s="248"/>
    </row>
    <row r="602" ht="14.25" customHeight="1">
      <c r="F602" s="173"/>
      <c r="G602" s="173"/>
      <c r="H602" s="173"/>
      <c r="Y602" s="248"/>
      <c r="Z602" s="248"/>
      <c r="AA602" s="248"/>
    </row>
    <row r="603" ht="14.25" customHeight="1">
      <c r="F603" s="173"/>
      <c r="G603" s="173"/>
      <c r="H603" s="173"/>
      <c r="Y603" s="248"/>
      <c r="Z603" s="248"/>
      <c r="AA603" s="248"/>
    </row>
    <row r="604" ht="14.25" customHeight="1">
      <c r="F604" s="173"/>
      <c r="G604" s="173"/>
      <c r="H604" s="173"/>
      <c r="Y604" s="248"/>
      <c r="Z604" s="248"/>
      <c r="AA604" s="248"/>
    </row>
    <row r="605" ht="14.25" customHeight="1">
      <c r="F605" s="173"/>
      <c r="G605" s="173"/>
      <c r="H605" s="173"/>
      <c r="Y605" s="248"/>
      <c r="Z605" s="248"/>
      <c r="AA605" s="248"/>
    </row>
    <row r="606" ht="14.25" customHeight="1">
      <c r="F606" s="173"/>
      <c r="G606" s="173"/>
      <c r="H606" s="173"/>
      <c r="Y606" s="248"/>
      <c r="Z606" s="248"/>
      <c r="AA606" s="248"/>
    </row>
    <row r="607" ht="14.25" customHeight="1">
      <c r="F607" s="173"/>
      <c r="G607" s="173"/>
      <c r="H607" s="173"/>
      <c r="Y607" s="248"/>
      <c r="Z607" s="248"/>
      <c r="AA607" s="248"/>
    </row>
    <row r="608" ht="14.25" customHeight="1">
      <c r="F608" s="173"/>
      <c r="G608" s="173"/>
      <c r="H608" s="173"/>
      <c r="Y608" s="248"/>
      <c r="Z608" s="248"/>
      <c r="AA608" s="248"/>
    </row>
    <row r="609" ht="14.25" customHeight="1">
      <c r="F609" s="173"/>
      <c r="G609" s="173"/>
      <c r="H609" s="173"/>
      <c r="Y609" s="248"/>
      <c r="Z609" s="248"/>
      <c r="AA609" s="248"/>
    </row>
    <row r="610" ht="14.25" customHeight="1">
      <c r="F610" s="173"/>
      <c r="G610" s="173"/>
      <c r="H610" s="173"/>
      <c r="Y610" s="248"/>
      <c r="Z610" s="248"/>
      <c r="AA610" s="248"/>
    </row>
    <row r="611" ht="14.25" customHeight="1">
      <c r="F611" s="173"/>
      <c r="G611" s="173"/>
      <c r="H611" s="173"/>
      <c r="Y611" s="248"/>
      <c r="Z611" s="248"/>
      <c r="AA611" s="248"/>
    </row>
    <row r="612" ht="14.25" customHeight="1">
      <c r="F612" s="173"/>
      <c r="G612" s="173"/>
      <c r="H612" s="173"/>
      <c r="Y612" s="248"/>
      <c r="Z612" s="248"/>
      <c r="AA612" s="248"/>
    </row>
    <row r="613" ht="14.25" customHeight="1">
      <c r="F613" s="173"/>
      <c r="G613" s="173"/>
      <c r="H613" s="173"/>
      <c r="Y613" s="248"/>
      <c r="Z613" s="248"/>
      <c r="AA613" s="248"/>
    </row>
    <row r="614" ht="14.25" customHeight="1">
      <c r="F614" s="173"/>
      <c r="G614" s="173"/>
      <c r="H614" s="173"/>
      <c r="Y614" s="248"/>
      <c r="Z614" s="248"/>
      <c r="AA614" s="248"/>
    </row>
    <row r="615" ht="14.25" customHeight="1">
      <c r="F615" s="173"/>
      <c r="G615" s="173"/>
      <c r="H615" s="173"/>
      <c r="Y615" s="248"/>
      <c r="Z615" s="248"/>
      <c r="AA615" s="248"/>
    </row>
    <row r="616" ht="14.25" customHeight="1">
      <c r="F616" s="173"/>
      <c r="G616" s="173"/>
      <c r="H616" s="173"/>
      <c r="Y616" s="248"/>
      <c r="Z616" s="248"/>
      <c r="AA616" s="248"/>
    </row>
    <row r="617" ht="14.25" customHeight="1">
      <c r="F617" s="173"/>
      <c r="G617" s="173"/>
      <c r="H617" s="173"/>
      <c r="Y617" s="248"/>
      <c r="Z617" s="248"/>
      <c r="AA617" s="248"/>
    </row>
    <row r="618" ht="14.25" customHeight="1">
      <c r="F618" s="173"/>
      <c r="G618" s="173"/>
      <c r="H618" s="173"/>
      <c r="Y618" s="248"/>
      <c r="Z618" s="248"/>
      <c r="AA618" s="248"/>
    </row>
    <row r="619" ht="14.25" customHeight="1">
      <c r="F619" s="173"/>
      <c r="G619" s="173"/>
      <c r="H619" s="173"/>
      <c r="Y619" s="248"/>
      <c r="Z619" s="248"/>
      <c r="AA619" s="248"/>
    </row>
    <row r="620" ht="14.25" customHeight="1">
      <c r="F620" s="173"/>
      <c r="G620" s="173"/>
      <c r="H620" s="173"/>
      <c r="Y620" s="248"/>
      <c r="Z620" s="248"/>
      <c r="AA620" s="248"/>
    </row>
    <row r="621" ht="14.25" customHeight="1">
      <c r="F621" s="173"/>
      <c r="G621" s="173"/>
      <c r="H621" s="173"/>
      <c r="Y621" s="248"/>
      <c r="Z621" s="248"/>
      <c r="AA621" s="248"/>
    </row>
    <row r="622" ht="14.25" customHeight="1">
      <c r="F622" s="173"/>
      <c r="G622" s="173"/>
      <c r="H622" s="173"/>
      <c r="Y622" s="248"/>
      <c r="Z622" s="248"/>
      <c r="AA622" s="248"/>
    </row>
    <row r="623" ht="14.25" customHeight="1">
      <c r="F623" s="173"/>
      <c r="G623" s="173"/>
      <c r="H623" s="173"/>
      <c r="Y623" s="248"/>
      <c r="Z623" s="248"/>
      <c r="AA623" s="248"/>
    </row>
    <row r="624" ht="14.25" customHeight="1">
      <c r="F624" s="173"/>
      <c r="G624" s="173"/>
      <c r="H624" s="173"/>
      <c r="Y624" s="248"/>
      <c r="Z624" s="248"/>
      <c r="AA624" s="248"/>
    </row>
    <row r="625" ht="14.25" customHeight="1">
      <c r="F625" s="173"/>
      <c r="G625" s="173"/>
      <c r="H625" s="173"/>
      <c r="Y625" s="248"/>
      <c r="Z625" s="248"/>
      <c r="AA625" s="248"/>
    </row>
    <row r="626" ht="14.25" customHeight="1">
      <c r="F626" s="173"/>
      <c r="G626" s="173"/>
      <c r="H626" s="173"/>
      <c r="Y626" s="248"/>
      <c r="Z626" s="248"/>
      <c r="AA626" s="248"/>
    </row>
    <row r="627" ht="14.25" customHeight="1">
      <c r="F627" s="173"/>
      <c r="G627" s="173"/>
      <c r="H627" s="173"/>
      <c r="Y627" s="248"/>
      <c r="Z627" s="248"/>
      <c r="AA627" s="248"/>
    </row>
    <row r="628" ht="14.25" customHeight="1">
      <c r="F628" s="173"/>
      <c r="G628" s="173"/>
      <c r="H628" s="173"/>
      <c r="Y628" s="248"/>
      <c r="Z628" s="248"/>
      <c r="AA628" s="248"/>
    </row>
    <row r="629" ht="14.25" customHeight="1">
      <c r="F629" s="173"/>
      <c r="G629" s="173"/>
      <c r="H629" s="173"/>
      <c r="Y629" s="248"/>
      <c r="Z629" s="248"/>
      <c r="AA629" s="248"/>
    </row>
    <row r="630" ht="14.25" customHeight="1">
      <c r="F630" s="173"/>
      <c r="G630" s="173"/>
      <c r="H630" s="173"/>
      <c r="Y630" s="248"/>
      <c r="Z630" s="248"/>
      <c r="AA630" s="248"/>
    </row>
    <row r="631" ht="14.25" customHeight="1">
      <c r="F631" s="173"/>
      <c r="G631" s="173"/>
      <c r="H631" s="173"/>
      <c r="Y631" s="248"/>
      <c r="Z631" s="248"/>
      <c r="AA631" s="248"/>
    </row>
    <row r="632" ht="14.25" customHeight="1">
      <c r="F632" s="173"/>
      <c r="G632" s="173"/>
      <c r="H632" s="173"/>
      <c r="Y632" s="248"/>
      <c r="Z632" s="248"/>
      <c r="AA632" s="248"/>
    </row>
    <row r="633" ht="14.25" customHeight="1">
      <c r="F633" s="173"/>
      <c r="G633" s="173"/>
      <c r="H633" s="173"/>
      <c r="Y633" s="248"/>
      <c r="Z633" s="248"/>
      <c r="AA633" s="248"/>
    </row>
    <row r="634" ht="14.25" customHeight="1">
      <c r="F634" s="173"/>
      <c r="G634" s="173"/>
      <c r="H634" s="173"/>
      <c r="Y634" s="248"/>
      <c r="Z634" s="248"/>
      <c r="AA634" s="248"/>
    </row>
    <row r="635" ht="14.25" customHeight="1">
      <c r="F635" s="173"/>
      <c r="G635" s="173"/>
      <c r="H635" s="173"/>
      <c r="Y635" s="248"/>
      <c r="Z635" s="248"/>
      <c r="AA635" s="248"/>
    </row>
    <row r="636" ht="14.25" customHeight="1">
      <c r="F636" s="173"/>
      <c r="G636" s="173"/>
      <c r="H636" s="173"/>
      <c r="Y636" s="248"/>
      <c r="Z636" s="248"/>
      <c r="AA636" s="248"/>
    </row>
    <row r="637" ht="14.25" customHeight="1">
      <c r="F637" s="173"/>
      <c r="G637" s="173"/>
      <c r="H637" s="173"/>
      <c r="Y637" s="248"/>
      <c r="Z637" s="248"/>
      <c r="AA637" s="248"/>
    </row>
    <row r="638" ht="14.25" customHeight="1">
      <c r="F638" s="173"/>
      <c r="G638" s="173"/>
      <c r="H638" s="173"/>
      <c r="Y638" s="248"/>
      <c r="Z638" s="248"/>
      <c r="AA638" s="248"/>
    </row>
    <row r="639" ht="14.25" customHeight="1">
      <c r="F639" s="173"/>
      <c r="G639" s="173"/>
      <c r="H639" s="173"/>
      <c r="Y639" s="248"/>
      <c r="Z639" s="248"/>
      <c r="AA639" s="248"/>
    </row>
    <row r="640" ht="14.25" customHeight="1">
      <c r="F640" s="173"/>
      <c r="G640" s="173"/>
      <c r="H640" s="173"/>
      <c r="Y640" s="248"/>
      <c r="Z640" s="248"/>
      <c r="AA640" s="248"/>
    </row>
    <row r="641" ht="14.25" customHeight="1">
      <c r="F641" s="173"/>
      <c r="G641" s="173"/>
      <c r="H641" s="173"/>
      <c r="Y641" s="248"/>
      <c r="Z641" s="248"/>
      <c r="AA641" s="248"/>
    </row>
    <row r="642" ht="14.25" customHeight="1">
      <c r="F642" s="173"/>
      <c r="G642" s="173"/>
      <c r="H642" s="173"/>
      <c r="Y642" s="248"/>
      <c r="Z642" s="248"/>
      <c r="AA642" s="248"/>
    </row>
    <row r="643" ht="14.25" customHeight="1">
      <c r="F643" s="173"/>
      <c r="G643" s="173"/>
      <c r="H643" s="173"/>
      <c r="Y643" s="248"/>
      <c r="Z643" s="248"/>
      <c r="AA643" s="248"/>
    </row>
    <row r="644" ht="14.25" customHeight="1">
      <c r="F644" s="173"/>
      <c r="G644" s="173"/>
      <c r="H644" s="173"/>
      <c r="Y644" s="248"/>
      <c r="Z644" s="248"/>
      <c r="AA644" s="248"/>
    </row>
    <row r="645" ht="14.25" customHeight="1">
      <c r="F645" s="173"/>
      <c r="G645" s="173"/>
      <c r="H645" s="173"/>
      <c r="Y645" s="248"/>
      <c r="Z645" s="248"/>
      <c r="AA645" s="248"/>
    </row>
    <row r="646" ht="14.25" customHeight="1">
      <c r="F646" s="173"/>
      <c r="G646" s="173"/>
      <c r="H646" s="173"/>
      <c r="Y646" s="248"/>
      <c r="Z646" s="248"/>
      <c r="AA646" s="248"/>
    </row>
    <row r="647" ht="14.25" customHeight="1">
      <c r="F647" s="173"/>
      <c r="G647" s="173"/>
      <c r="H647" s="173"/>
      <c r="Y647" s="248"/>
      <c r="Z647" s="248"/>
      <c r="AA647" s="248"/>
    </row>
    <row r="648" ht="14.25" customHeight="1">
      <c r="F648" s="173"/>
      <c r="G648" s="173"/>
      <c r="H648" s="173"/>
      <c r="Y648" s="248"/>
      <c r="Z648" s="248"/>
      <c r="AA648" s="248"/>
    </row>
    <row r="649" ht="14.25" customHeight="1">
      <c r="F649" s="173"/>
      <c r="G649" s="173"/>
      <c r="H649" s="173"/>
      <c r="Y649" s="248"/>
      <c r="Z649" s="248"/>
      <c r="AA649" s="248"/>
    </row>
    <row r="650" ht="14.25" customHeight="1">
      <c r="F650" s="173"/>
      <c r="G650" s="173"/>
      <c r="H650" s="173"/>
      <c r="Y650" s="248"/>
      <c r="Z650" s="248"/>
      <c r="AA650" s="248"/>
    </row>
    <row r="651" ht="14.25" customHeight="1">
      <c r="F651" s="173"/>
      <c r="G651" s="173"/>
      <c r="H651" s="173"/>
      <c r="Y651" s="248"/>
      <c r="Z651" s="248"/>
      <c r="AA651" s="248"/>
    </row>
    <row r="652" ht="14.25" customHeight="1">
      <c r="F652" s="173"/>
      <c r="G652" s="173"/>
      <c r="H652" s="173"/>
      <c r="Y652" s="248"/>
      <c r="Z652" s="248"/>
      <c r="AA652" s="248"/>
    </row>
    <row r="653" ht="14.25" customHeight="1">
      <c r="F653" s="173"/>
      <c r="G653" s="173"/>
      <c r="H653" s="173"/>
      <c r="Y653" s="248"/>
      <c r="Z653" s="248"/>
      <c r="AA653" s="248"/>
    </row>
    <row r="654" ht="14.25" customHeight="1">
      <c r="F654" s="173"/>
      <c r="G654" s="173"/>
      <c r="H654" s="173"/>
      <c r="Y654" s="248"/>
      <c r="Z654" s="248"/>
      <c r="AA654" s="248"/>
    </row>
    <row r="655" ht="14.25" customHeight="1">
      <c r="F655" s="173"/>
      <c r="G655" s="173"/>
      <c r="H655" s="173"/>
      <c r="Y655" s="248"/>
      <c r="Z655" s="248"/>
      <c r="AA655" s="248"/>
    </row>
    <row r="656" ht="14.25" customHeight="1">
      <c r="F656" s="173"/>
      <c r="G656" s="173"/>
      <c r="H656" s="173"/>
      <c r="Y656" s="248"/>
      <c r="Z656" s="248"/>
      <c r="AA656" s="248"/>
    </row>
    <row r="657" ht="14.25" customHeight="1">
      <c r="F657" s="173"/>
      <c r="G657" s="173"/>
      <c r="H657" s="173"/>
      <c r="Y657" s="248"/>
      <c r="Z657" s="248"/>
      <c r="AA657" s="248"/>
    </row>
    <row r="658" ht="14.25" customHeight="1">
      <c r="F658" s="173"/>
      <c r="G658" s="173"/>
      <c r="H658" s="173"/>
      <c r="Y658" s="248"/>
      <c r="Z658" s="248"/>
      <c r="AA658" s="248"/>
    </row>
    <row r="659" ht="14.25" customHeight="1">
      <c r="F659" s="173"/>
      <c r="G659" s="173"/>
      <c r="H659" s="173"/>
      <c r="Y659" s="248"/>
      <c r="Z659" s="248"/>
      <c r="AA659" s="248"/>
    </row>
    <row r="660" ht="14.25" customHeight="1">
      <c r="F660" s="173"/>
      <c r="G660" s="173"/>
      <c r="H660" s="173"/>
      <c r="Y660" s="248"/>
      <c r="Z660" s="248"/>
      <c r="AA660" s="248"/>
    </row>
    <row r="661" ht="14.25" customHeight="1">
      <c r="F661" s="173"/>
      <c r="G661" s="173"/>
      <c r="H661" s="173"/>
      <c r="Y661" s="248"/>
      <c r="Z661" s="248"/>
      <c r="AA661" s="248"/>
    </row>
    <row r="662" ht="14.25" customHeight="1">
      <c r="F662" s="173"/>
      <c r="G662" s="173"/>
      <c r="H662" s="173"/>
      <c r="Y662" s="248"/>
      <c r="Z662" s="248"/>
      <c r="AA662" s="248"/>
    </row>
    <row r="663" ht="14.25" customHeight="1">
      <c r="F663" s="173"/>
      <c r="G663" s="173"/>
      <c r="H663" s="173"/>
      <c r="Y663" s="248"/>
      <c r="Z663" s="248"/>
      <c r="AA663" s="248"/>
    </row>
    <row r="664" ht="14.25" customHeight="1">
      <c r="F664" s="173"/>
      <c r="G664" s="173"/>
      <c r="H664" s="173"/>
      <c r="Y664" s="248"/>
      <c r="Z664" s="248"/>
      <c r="AA664" s="248"/>
    </row>
    <row r="665" ht="14.25" customHeight="1">
      <c r="F665" s="173"/>
      <c r="G665" s="173"/>
      <c r="H665" s="173"/>
      <c r="Y665" s="248"/>
      <c r="Z665" s="248"/>
      <c r="AA665" s="248"/>
    </row>
    <row r="666" ht="14.25" customHeight="1">
      <c r="F666" s="173"/>
      <c r="G666" s="173"/>
      <c r="H666" s="173"/>
      <c r="Y666" s="248"/>
      <c r="Z666" s="248"/>
      <c r="AA666" s="248"/>
    </row>
    <row r="667" ht="14.25" customHeight="1">
      <c r="F667" s="173"/>
      <c r="G667" s="173"/>
      <c r="H667" s="173"/>
      <c r="Y667" s="248"/>
      <c r="Z667" s="248"/>
      <c r="AA667" s="248"/>
    </row>
    <row r="668" ht="14.25" customHeight="1">
      <c r="F668" s="173"/>
      <c r="G668" s="173"/>
      <c r="H668" s="173"/>
      <c r="Y668" s="248"/>
      <c r="Z668" s="248"/>
      <c r="AA668" s="248"/>
    </row>
    <row r="669" ht="14.25" customHeight="1">
      <c r="F669" s="173"/>
      <c r="G669" s="173"/>
      <c r="H669" s="173"/>
      <c r="Y669" s="248"/>
      <c r="Z669" s="248"/>
      <c r="AA669" s="248"/>
    </row>
    <row r="670" ht="14.25" customHeight="1">
      <c r="F670" s="173"/>
      <c r="G670" s="173"/>
      <c r="H670" s="173"/>
      <c r="Y670" s="248"/>
      <c r="Z670" s="248"/>
      <c r="AA670" s="248"/>
    </row>
    <row r="671" ht="14.25" customHeight="1">
      <c r="F671" s="173"/>
      <c r="G671" s="173"/>
      <c r="H671" s="173"/>
      <c r="Y671" s="248"/>
      <c r="Z671" s="248"/>
      <c r="AA671" s="248"/>
    </row>
    <row r="672" ht="14.25" customHeight="1">
      <c r="F672" s="173"/>
      <c r="G672" s="173"/>
      <c r="H672" s="173"/>
      <c r="Y672" s="248"/>
      <c r="Z672" s="248"/>
      <c r="AA672" s="248"/>
    </row>
    <row r="673" ht="14.25" customHeight="1">
      <c r="F673" s="173"/>
      <c r="G673" s="173"/>
      <c r="H673" s="173"/>
      <c r="Y673" s="248"/>
      <c r="Z673" s="248"/>
      <c r="AA673" s="248"/>
    </row>
    <row r="674" ht="14.25" customHeight="1">
      <c r="F674" s="173"/>
      <c r="G674" s="173"/>
      <c r="H674" s="173"/>
      <c r="Y674" s="248"/>
      <c r="Z674" s="248"/>
      <c r="AA674" s="248"/>
    </row>
    <row r="675" ht="14.25" customHeight="1">
      <c r="F675" s="173"/>
      <c r="G675" s="173"/>
      <c r="H675" s="173"/>
      <c r="Y675" s="248"/>
      <c r="Z675" s="248"/>
      <c r="AA675" s="248"/>
    </row>
    <row r="676" ht="14.25" customHeight="1">
      <c r="F676" s="173"/>
      <c r="G676" s="173"/>
      <c r="H676" s="173"/>
      <c r="Y676" s="248"/>
      <c r="Z676" s="248"/>
      <c r="AA676" s="248"/>
    </row>
    <row r="677" ht="14.25" customHeight="1">
      <c r="F677" s="173"/>
      <c r="G677" s="173"/>
      <c r="H677" s="173"/>
      <c r="Y677" s="248"/>
      <c r="Z677" s="248"/>
      <c r="AA677" s="248"/>
    </row>
    <row r="678" ht="14.25" customHeight="1">
      <c r="F678" s="173"/>
      <c r="G678" s="173"/>
      <c r="H678" s="173"/>
      <c r="Y678" s="248"/>
      <c r="Z678" s="248"/>
      <c r="AA678" s="248"/>
    </row>
    <row r="679" ht="14.25" customHeight="1">
      <c r="F679" s="173"/>
      <c r="G679" s="173"/>
      <c r="H679" s="173"/>
      <c r="Y679" s="248"/>
      <c r="Z679" s="248"/>
      <c r="AA679" s="248"/>
    </row>
    <row r="680" ht="14.25" customHeight="1">
      <c r="F680" s="173"/>
      <c r="G680" s="173"/>
      <c r="H680" s="173"/>
      <c r="Y680" s="248"/>
      <c r="Z680" s="248"/>
      <c r="AA680" s="248"/>
    </row>
    <row r="681" ht="14.25" customHeight="1">
      <c r="F681" s="173"/>
      <c r="G681" s="173"/>
      <c r="H681" s="173"/>
      <c r="Y681" s="248"/>
      <c r="Z681" s="248"/>
      <c r="AA681" s="248"/>
    </row>
    <row r="682" ht="14.25" customHeight="1">
      <c r="F682" s="173"/>
      <c r="G682" s="173"/>
      <c r="H682" s="173"/>
      <c r="Y682" s="248"/>
      <c r="Z682" s="248"/>
      <c r="AA682" s="248"/>
    </row>
    <row r="683" ht="14.25" customHeight="1">
      <c r="F683" s="173"/>
      <c r="G683" s="173"/>
      <c r="H683" s="173"/>
      <c r="Y683" s="248"/>
      <c r="Z683" s="248"/>
      <c r="AA683" s="248"/>
    </row>
    <row r="684" ht="14.25" customHeight="1">
      <c r="F684" s="173"/>
      <c r="G684" s="173"/>
      <c r="H684" s="173"/>
      <c r="Y684" s="248"/>
      <c r="Z684" s="248"/>
      <c r="AA684" s="248"/>
    </row>
    <row r="685" ht="14.25" customHeight="1">
      <c r="F685" s="173"/>
      <c r="G685" s="173"/>
      <c r="H685" s="173"/>
      <c r="Y685" s="248"/>
      <c r="Z685" s="248"/>
      <c r="AA685" s="248"/>
    </row>
    <row r="686" ht="14.25" customHeight="1">
      <c r="F686" s="173"/>
      <c r="G686" s="173"/>
      <c r="H686" s="173"/>
      <c r="Y686" s="248"/>
      <c r="Z686" s="248"/>
      <c r="AA686" s="248"/>
    </row>
    <row r="687" ht="14.25" customHeight="1">
      <c r="F687" s="173"/>
      <c r="G687" s="173"/>
      <c r="H687" s="173"/>
      <c r="Y687" s="248"/>
      <c r="Z687" s="248"/>
      <c r="AA687" s="248"/>
    </row>
    <row r="688" ht="14.25" customHeight="1">
      <c r="F688" s="173"/>
      <c r="G688" s="173"/>
      <c r="H688" s="173"/>
      <c r="Y688" s="248"/>
      <c r="Z688" s="248"/>
      <c r="AA688" s="248"/>
    </row>
    <row r="689" ht="14.25" customHeight="1">
      <c r="F689" s="173"/>
      <c r="G689" s="173"/>
      <c r="H689" s="173"/>
      <c r="Y689" s="248"/>
      <c r="Z689" s="248"/>
      <c r="AA689" s="248"/>
    </row>
    <row r="690" ht="14.25" customHeight="1">
      <c r="F690" s="173"/>
      <c r="G690" s="173"/>
      <c r="H690" s="173"/>
      <c r="Y690" s="248"/>
      <c r="Z690" s="248"/>
      <c r="AA690" s="248"/>
    </row>
    <row r="691" ht="14.25" customHeight="1">
      <c r="F691" s="173"/>
      <c r="G691" s="173"/>
      <c r="H691" s="173"/>
      <c r="Y691" s="248"/>
      <c r="Z691" s="248"/>
      <c r="AA691" s="248"/>
    </row>
    <row r="692" ht="14.25" customHeight="1">
      <c r="F692" s="173"/>
      <c r="G692" s="173"/>
      <c r="H692" s="173"/>
      <c r="Y692" s="248"/>
      <c r="Z692" s="248"/>
      <c r="AA692" s="248"/>
    </row>
    <row r="693" ht="14.25" customHeight="1">
      <c r="F693" s="173"/>
      <c r="G693" s="173"/>
      <c r="H693" s="173"/>
      <c r="Y693" s="248"/>
      <c r="Z693" s="248"/>
      <c r="AA693" s="248"/>
    </row>
    <row r="694" ht="14.25" customHeight="1">
      <c r="F694" s="173"/>
      <c r="G694" s="173"/>
      <c r="H694" s="173"/>
      <c r="Y694" s="248"/>
      <c r="Z694" s="248"/>
      <c r="AA694" s="248"/>
    </row>
    <row r="695" ht="14.25" customHeight="1">
      <c r="F695" s="173"/>
      <c r="G695" s="173"/>
      <c r="H695" s="173"/>
      <c r="Y695" s="248"/>
      <c r="Z695" s="248"/>
      <c r="AA695" s="248"/>
    </row>
    <row r="696" ht="14.25" customHeight="1">
      <c r="F696" s="173"/>
      <c r="G696" s="173"/>
      <c r="H696" s="173"/>
      <c r="Y696" s="248"/>
      <c r="Z696" s="248"/>
      <c r="AA696" s="248"/>
    </row>
    <row r="697" ht="14.25" customHeight="1">
      <c r="F697" s="173"/>
      <c r="G697" s="173"/>
      <c r="H697" s="173"/>
      <c r="Y697" s="248"/>
      <c r="Z697" s="248"/>
      <c r="AA697" s="248"/>
    </row>
    <row r="698" ht="14.25" customHeight="1">
      <c r="F698" s="173"/>
      <c r="G698" s="173"/>
      <c r="H698" s="173"/>
      <c r="Y698" s="248"/>
      <c r="Z698" s="248"/>
      <c r="AA698" s="248"/>
    </row>
    <row r="699" ht="14.25" customHeight="1">
      <c r="F699" s="173"/>
      <c r="G699" s="173"/>
      <c r="H699" s="173"/>
      <c r="Y699" s="248"/>
      <c r="Z699" s="248"/>
      <c r="AA699" s="248"/>
    </row>
    <row r="700" ht="14.25" customHeight="1">
      <c r="F700" s="173"/>
      <c r="G700" s="173"/>
      <c r="H700" s="173"/>
      <c r="Y700" s="248"/>
      <c r="Z700" s="248"/>
      <c r="AA700" s="248"/>
    </row>
    <row r="701" ht="14.25" customHeight="1">
      <c r="F701" s="173"/>
      <c r="G701" s="173"/>
      <c r="H701" s="173"/>
      <c r="Y701" s="248"/>
      <c r="Z701" s="248"/>
      <c r="AA701" s="248"/>
    </row>
    <row r="702" ht="14.25" customHeight="1">
      <c r="F702" s="173"/>
      <c r="G702" s="173"/>
      <c r="H702" s="173"/>
      <c r="Y702" s="248"/>
      <c r="Z702" s="248"/>
      <c r="AA702" s="248"/>
    </row>
    <row r="703" ht="14.25" customHeight="1">
      <c r="F703" s="173"/>
      <c r="G703" s="173"/>
      <c r="H703" s="173"/>
      <c r="Y703" s="248"/>
      <c r="Z703" s="248"/>
      <c r="AA703" s="248"/>
    </row>
    <row r="704" ht="14.25" customHeight="1">
      <c r="F704" s="173"/>
      <c r="G704" s="173"/>
      <c r="H704" s="173"/>
      <c r="Y704" s="248"/>
      <c r="Z704" s="248"/>
      <c r="AA704" s="248"/>
    </row>
    <row r="705" ht="14.25" customHeight="1">
      <c r="F705" s="173"/>
      <c r="G705" s="173"/>
      <c r="H705" s="173"/>
      <c r="Y705" s="248"/>
      <c r="Z705" s="248"/>
      <c r="AA705" s="248"/>
    </row>
    <row r="706" ht="14.25" customHeight="1">
      <c r="F706" s="173"/>
      <c r="G706" s="173"/>
      <c r="H706" s="173"/>
      <c r="Y706" s="248"/>
      <c r="Z706" s="248"/>
      <c r="AA706" s="248"/>
    </row>
    <row r="707" ht="14.25" customHeight="1">
      <c r="F707" s="173"/>
      <c r="G707" s="173"/>
      <c r="H707" s="173"/>
      <c r="Y707" s="248"/>
      <c r="Z707" s="248"/>
      <c r="AA707" s="248"/>
    </row>
    <row r="708" ht="14.25" customHeight="1">
      <c r="F708" s="173"/>
      <c r="G708" s="173"/>
      <c r="H708" s="173"/>
      <c r="Y708" s="248"/>
      <c r="Z708" s="248"/>
      <c r="AA708" s="248"/>
    </row>
    <row r="709" ht="14.25" customHeight="1">
      <c r="F709" s="173"/>
      <c r="G709" s="173"/>
      <c r="H709" s="173"/>
      <c r="Y709" s="248"/>
      <c r="Z709" s="248"/>
      <c r="AA709" s="248"/>
    </row>
    <row r="710" ht="14.25" customHeight="1">
      <c r="F710" s="173"/>
      <c r="G710" s="173"/>
      <c r="H710" s="173"/>
      <c r="Y710" s="248"/>
      <c r="Z710" s="248"/>
      <c r="AA710" s="248"/>
    </row>
    <row r="711" ht="14.25" customHeight="1">
      <c r="F711" s="173"/>
      <c r="G711" s="173"/>
      <c r="H711" s="173"/>
      <c r="Y711" s="248"/>
      <c r="Z711" s="248"/>
      <c r="AA711" s="248"/>
    </row>
    <row r="712" ht="14.25" customHeight="1">
      <c r="F712" s="173"/>
      <c r="G712" s="173"/>
      <c r="H712" s="173"/>
      <c r="Y712" s="248"/>
      <c r="Z712" s="248"/>
      <c r="AA712" s="248"/>
    </row>
    <row r="713" ht="14.25" customHeight="1">
      <c r="F713" s="173"/>
      <c r="G713" s="173"/>
      <c r="H713" s="173"/>
      <c r="Y713" s="248"/>
      <c r="Z713" s="248"/>
      <c r="AA713" s="248"/>
    </row>
    <row r="714" ht="14.25" customHeight="1">
      <c r="F714" s="173"/>
      <c r="G714" s="173"/>
      <c r="H714" s="173"/>
      <c r="Y714" s="248"/>
      <c r="Z714" s="248"/>
      <c r="AA714" s="248"/>
    </row>
    <row r="715" ht="14.25" customHeight="1">
      <c r="F715" s="173"/>
      <c r="G715" s="173"/>
      <c r="H715" s="173"/>
      <c r="Y715" s="248"/>
      <c r="Z715" s="248"/>
      <c r="AA715" s="248"/>
    </row>
    <row r="716" ht="14.25" customHeight="1">
      <c r="F716" s="173"/>
      <c r="G716" s="173"/>
      <c r="H716" s="173"/>
      <c r="Y716" s="248"/>
      <c r="Z716" s="248"/>
      <c r="AA716" s="248"/>
    </row>
    <row r="717" ht="14.25" customHeight="1">
      <c r="F717" s="173"/>
      <c r="G717" s="173"/>
      <c r="H717" s="173"/>
      <c r="Y717" s="248"/>
      <c r="Z717" s="248"/>
      <c r="AA717" s="248"/>
    </row>
    <row r="718" ht="14.25" customHeight="1">
      <c r="F718" s="173"/>
      <c r="G718" s="173"/>
      <c r="H718" s="173"/>
      <c r="Y718" s="248"/>
      <c r="Z718" s="248"/>
      <c r="AA718" s="248"/>
    </row>
    <row r="719" ht="14.25" customHeight="1">
      <c r="F719" s="173"/>
      <c r="G719" s="173"/>
      <c r="H719" s="173"/>
      <c r="Y719" s="248"/>
      <c r="Z719" s="248"/>
      <c r="AA719" s="248"/>
    </row>
    <row r="720" ht="14.25" customHeight="1">
      <c r="F720" s="173"/>
      <c r="G720" s="173"/>
      <c r="H720" s="173"/>
      <c r="Y720" s="248"/>
      <c r="Z720" s="248"/>
      <c r="AA720" s="248"/>
    </row>
    <row r="721" ht="14.25" customHeight="1">
      <c r="F721" s="173"/>
      <c r="G721" s="173"/>
      <c r="H721" s="173"/>
      <c r="Y721" s="248"/>
      <c r="Z721" s="248"/>
      <c r="AA721" s="248"/>
    </row>
    <row r="722" ht="14.25" customHeight="1">
      <c r="F722" s="173"/>
      <c r="G722" s="173"/>
      <c r="H722" s="173"/>
      <c r="Y722" s="248"/>
      <c r="Z722" s="248"/>
      <c r="AA722" s="248"/>
    </row>
    <row r="723" ht="14.25" customHeight="1">
      <c r="F723" s="173"/>
      <c r="G723" s="173"/>
      <c r="H723" s="173"/>
      <c r="Y723" s="248"/>
      <c r="Z723" s="248"/>
      <c r="AA723" s="248"/>
    </row>
    <row r="724" ht="14.25" customHeight="1">
      <c r="F724" s="173"/>
      <c r="G724" s="173"/>
      <c r="H724" s="173"/>
      <c r="Y724" s="248"/>
      <c r="Z724" s="248"/>
      <c r="AA724" s="248"/>
    </row>
    <row r="725" ht="14.25" customHeight="1">
      <c r="F725" s="173"/>
      <c r="G725" s="173"/>
      <c r="H725" s="173"/>
      <c r="Y725" s="248"/>
      <c r="Z725" s="248"/>
      <c r="AA725" s="248"/>
    </row>
    <row r="726" ht="14.25" customHeight="1">
      <c r="F726" s="173"/>
      <c r="G726" s="173"/>
      <c r="H726" s="173"/>
      <c r="Y726" s="248"/>
      <c r="Z726" s="248"/>
      <c r="AA726" s="248"/>
    </row>
    <row r="727" ht="14.25" customHeight="1">
      <c r="F727" s="173"/>
      <c r="G727" s="173"/>
      <c r="H727" s="173"/>
      <c r="Y727" s="248"/>
      <c r="Z727" s="248"/>
      <c r="AA727" s="248"/>
    </row>
    <row r="728" ht="14.25" customHeight="1">
      <c r="F728" s="173"/>
      <c r="G728" s="173"/>
      <c r="H728" s="173"/>
      <c r="Y728" s="248"/>
      <c r="Z728" s="248"/>
      <c r="AA728" s="248"/>
    </row>
    <row r="729" ht="14.25" customHeight="1">
      <c r="F729" s="173"/>
      <c r="G729" s="173"/>
      <c r="H729" s="173"/>
      <c r="Y729" s="248"/>
      <c r="Z729" s="248"/>
      <c r="AA729" s="248"/>
    </row>
    <row r="730" ht="14.25" customHeight="1">
      <c r="F730" s="173"/>
      <c r="G730" s="173"/>
      <c r="H730" s="173"/>
      <c r="Y730" s="248"/>
      <c r="Z730" s="248"/>
      <c r="AA730" s="248"/>
    </row>
    <row r="731" ht="14.25" customHeight="1">
      <c r="F731" s="173"/>
      <c r="G731" s="173"/>
      <c r="H731" s="173"/>
      <c r="Y731" s="248"/>
      <c r="Z731" s="248"/>
      <c r="AA731" s="248"/>
    </row>
    <row r="732" ht="14.25" customHeight="1">
      <c r="F732" s="173"/>
      <c r="G732" s="173"/>
      <c r="H732" s="173"/>
      <c r="Y732" s="248"/>
      <c r="Z732" s="248"/>
      <c r="AA732" s="248"/>
    </row>
    <row r="733" ht="14.25" customHeight="1">
      <c r="F733" s="173"/>
      <c r="G733" s="173"/>
      <c r="H733" s="173"/>
      <c r="Y733" s="248"/>
      <c r="Z733" s="248"/>
      <c r="AA733" s="248"/>
    </row>
    <row r="734" ht="14.25" customHeight="1">
      <c r="F734" s="173"/>
      <c r="G734" s="173"/>
      <c r="H734" s="173"/>
      <c r="Y734" s="248"/>
      <c r="Z734" s="248"/>
      <c r="AA734" s="248"/>
    </row>
    <row r="735" ht="14.25" customHeight="1">
      <c r="F735" s="173"/>
      <c r="G735" s="173"/>
      <c r="H735" s="173"/>
      <c r="Y735" s="248"/>
      <c r="Z735" s="248"/>
      <c r="AA735" s="248"/>
    </row>
    <row r="736" ht="14.25" customHeight="1">
      <c r="F736" s="173"/>
      <c r="G736" s="173"/>
      <c r="H736" s="173"/>
      <c r="Y736" s="248"/>
      <c r="Z736" s="248"/>
      <c r="AA736" s="248"/>
    </row>
    <row r="737" ht="14.25" customHeight="1">
      <c r="F737" s="173"/>
      <c r="G737" s="173"/>
      <c r="H737" s="173"/>
      <c r="Y737" s="248"/>
      <c r="Z737" s="248"/>
      <c r="AA737" s="248"/>
    </row>
    <row r="738" ht="14.25" customHeight="1">
      <c r="F738" s="173"/>
      <c r="G738" s="173"/>
      <c r="H738" s="173"/>
      <c r="Y738" s="248"/>
      <c r="Z738" s="248"/>
      <c r="AA738" s="248"/>
    </row>
    <row r="739" ht="14.25" customHeight="1">
      <c r="F739" s="173"/>
      <c r="G739" s="173"/>
      <c r="H739" s="173"/>
      <c r="Y739" s="248"/>
      <c r="Z739" s="248"/>
      <c r="AA739" s="248"/>
    </row>
    <row r="740" ht="14.25" customHeight="1">
      <c r="F740" s="173"/>
      <c r="G740" s="173"/>
      <c r="H740" s="173"/>
      <c r="Y740" s="248"/>
      <c r="Z740" s="248"/>
      <c r="AA740" s="248"/>
    </row>
    <row r="741" ht="14.25" customHeight="1">
      <c r="F741" s="173"/>
      <c r="G741" s="173"/>
      <c r="H741" s="173"/>
      <c r="Y741" s="248"/>
      <c r="Z741" s="248"/>
      <c r="AA741" s="248"/>
    </row>
    <row r="742" ht="14.25" customHeight="1">
      <c r="F742" s="173"/>
      <c r="G742" s="173"/>
      <c r="H742" s="173"/>
      <c r="Y742" s="248"/>
      <c r="Z742" s="248"/>
      <c r="AA742" s="248"/>
    </row>
    <row r="743" ht="14.25" customHeight="1">
      <c r="F743" s="173"/>
      <c r="G743" s="173"/>
      <c r="H743" s="173"/>
      <c r="Y743" s="248"/>
      <c r="Z743" s="248"/>
      <c r="AA743" s="248"/>
    </row>
    <row r="744" ht="14.25" customHeight="1">
      <c r="F744" s="173"/>
      <c r="G744" s="173"/>
      <c r="H744" s="173"/>
      <c r="Y744" s="248"/>
      <c r="Z744" s="248"/>
      <c r="AA744" s="248"/>
    </row>
    <row r="745" ht="14.25" customHeight="1">
      <c r="F745" s="173"/>
      <c r="G745" s="173"/>
      <c r="H745" s="173"/>
      <c r="Y745" s="248"/>
      <c r="Z745" s="248"/>
      <c r="AA745" s="248"/>
    </row>
    <row r="746" ht="14.25" customHeight="1">
      <c r="F746" s="173"/>
      <c r="G746" s="173"/>
      <c r="H746" s="173"/>
      <c r="Y746" s="248"/>
      <c r="Z746" s="248"/>
      <c r="AA746" s="248"/>
    </row>
    <row r="747" ht="14.25" customHeight="1">
      <c r="F747" s="173"/>
      <c r="G747" s="173"/>
      <c r="H747" s="173"/>
      <c r="Y747" s="248"/>
      <c r="Z747" s="248"/>
      <c r="AA747" s="248"/>
    </row>
    <row r="748" ht="14.25" customHeight="1">
      <c r="F748" s="173"/>
      <c r="G748" s="173"/>
      <c r="H748" s="173"/>
      <c r="Y748" s="248"/>
      <c r="Z748" s="248"/>
      <c r="AA748" s="248"/>
    </row>
    <row r="749" ht="14.25" customHeight="1">
      <c r="F749" s="173"/>
      <c r="G749" s="173"/>
      <c r="H749" s="173"/>
      <c r="Y749" s="248"/>
      <c r="Z749" s="248"/>
      <c r="AA749" s="248"/>
    </row>
    <row r="750" ht="14.25" customHeight="1">
      <c r="F750" s="173"/>
      <c r="G750" s="173"/>
      <c r="H750" s="173"/>
      <c r="Y750" s="248"/>
      <c r="Z750" s="248"/>
      <c r="AA750" s="248"/>
    </row>
    <row r="751" ht="14.25" customHeight="1">
      <c r="F751" s="173"/>
      <c r="G751" s="173"/>
      <c r="H751" s="173"/>
      <c r="Y751" s="248"/>
      <c r="Z751" s="248"/>
      <c r="AA751" s="248"/>
    </row>
    <row r="752" ht="14.25" customHeight="1">
      <c r="F752" s="173"/>
      <c r="G752" s="173"/>
      <c r="H752" s="173"/>
      <c r="Y752" s="248"/>
      <c r="Z752" s="248"/>
      <c r="AA752" s="248"/>
    </row>
    <row r="753" ht="14.25" customHeight="1">
      <c r="F753" s="173"/>
      <c r="G753" s="173"/>
      <c r="H753" s="173"/>
      <c r="Y753" s="248"/>
      <c r="Z753" s="248"/>
      <c r="AA753" s="248"/>
    </row>
    <row r="754" ht="14.25" customHeight="1">
      <c r="F754" s="173"/>
      <c r="G754" s="173"/>
      <c r="H754" s="173"/>
      <c r="Y754" s="248"/>
      <c r="Z754" s="248"/>
      <c r="AA754" s="248"/>
    </row>
    <row r="755" ht="14.25" customHeight="1">
      <c r="F755" s="173"/>
      <c r="G755" s="173"/>
      <c r="H755" s="173"/>
      <c r="Y755" s="248"/>
      <c r="Z755" s="248"/>
      <c r="AA755" s="248"/>
    </row>
    <row r="756" ht="14.25" customHeight="1">
      <c r="F756" s="173"/>
      <c r="G756" s="173"/>
      <c r="H756" s="173"/>
      <c r="Y756" s="248"/>
      <c r="Z756" s="248"/>
      <c r="AA756" s="248"/>
    </row>
    <row r="757" ht="14.25" customHeight="1">
      <c r="F757" s="173"/>
      <c r="G757" s="173"/>
      <c r="H757" s="173"/>
      <c r="Y757" s="248"/>
      <c r="Z757" s="248"/>
      <c r="AA757" s="248"/>
    </row>
    <row r="758" ht="14.25" customHeight="1">
      <c r="F758" s="173"/>
      <c r="G758" s="173"/>
      <c r="H758" s="173"/>
      <c r="Y758" s="248"/>
      <c r="Z758" s="248"/>
      <c r="AA758" s="248"/>
    </row>
    <row r="759" ht="14.25" customHeight="1">
      <c r="F759" s="173"/>
      <c r="G759" s="173"/>
      <c r="H759" s="173"/>
      <c r="Y759" s="248"/>
      <c r="Z759" s="248"/>
      <c r="AA759" s="248"/>
    </row>
    <row r="760" ht="14.25" customHeight="1">
      <c r="F760" s="173"/>
      <c r="G760" s="173"/>
      <c r="H760" s="173"/>
      <c r="Y760" s="248"/>
      <c r="Z760" s="248"/>
      <c r="AA760" s="248"/>
    </row>
    <row r="761" ht="14.25" customHeight="1">
      <c r="F761" s="173"/>
      <c r="G761" s="173"/>
      <c r="H761" s="173"/>
      <c r="Y761" s="248"/>
      <c r="Z761" s="248"/>
      <c r="AA761" s="248"/>
    </row>
    <row r="762" ht="14.25" customHeight="1">
      <c r="F762" s="173"/>
      <c r="G762" s="173"/>
      <c r="H762" s="173"/>
      <c r="Y762" s="248"/>
      <c r="Z762" s="248"/>
      <c r="AA762" s="248"/>
    </row>
    <row r="763" ht="14.25" customHeight="1">
      <c r="F763" s="173"/>
      <c r="G763" s="173"/>
      <c r="H763" s="173"/>
      <c r="Y763" s="248"/>
      <c r="Z763" s="248"/>
      <c r="AA763" s="248"/>
    </row>
    <row r="764" ht="14.25" customHeight="1">
      <c r="F764" s="173"/>
      <c r="G764" s="173"/>
      <c r="H764" s="173"/>
      <c r="Y764" s="248"/>
      <c r="Z764" s="248"/>
      <c r="AA764" s="248"/>
    </row>
    <row r="765" ht="14.25" customHeight="1">
      <c r="F765" s="173"/>
      <c r="G765" s="173"/>
      <c r="H765" s="173"/>
      <c r="Y765" s="248"/>
      <c r="Z765" s="248"/>
      <c r="AA765" s="248"/>
    </row>
    <row r="766" ht="14.25" customHeight="1">
      <c r="F766" s="173"/>
      <c r="G766" s="173"/>
      <c r="H766" s="173"/>
      <c r="Y766" s="248"/>
      <c r="Z766" s="248"/>
      <c r="AA766" s="248"/>
    </row>
    <row r="767" ht="14.25" customHeight="1">
      <c r="F767" s="173"/>
      <c r="G767" s="173"/>
      <c r="H767" s="173"/>
      <c r="Y767" s="248"/>
      <c r="Z767" s="248"/>
      <c r="AA767" s="248"/>
    </row>
    <row r="768" ht="14.25" customHeight="1">
      <c r="F768" s="173"/>
      <c r="G768" s="173"/>
      <c r="H768" s="173"/>
      <c r="Y768" s="248"/>
      <c r="Z768" s="248"/>
      <c r="AA768" s="248"/>
    </row>
    <row r="769" ht="14.25" customHeight="1">
      <c r="F769" s="173"/>
      <c r="G769" s="173"/>
      <c r="H769" s="173"/>
      <c r="Y769" s="248"/>
      <c r="Z769" s="248"/>
      <c r="AA769" s="248"/>
    </row>
    <row r="770" ht="14.25" customHeight="1">
      <c r="F770" s="173"/>
      <c r="G770" s="173"/>
      <c r="H770" s="173"/>
      <c r="Y770" s="248"/>
      <c r="Z770" s="248"/>
      <c r="AA770" s="248"/>
    </row>
    <row r="771" ht="14.25" customHeight="1">
      <c r="F771" s="173"/>
      <c r="G771" s="173"/>
      <c r="H771" s="173"/>
      <c r="Y771" s="248"/>
      <c r="Z771" s="248"/>
      <c r="AA771" s="248"/>
    </row>
    <row r="772" ht="14.25" customHeight="1">
      <c r="F772" s="173"/>
      <c r="G772" s="173"/>
      <c r="H772" s="173"/>
      <c r="Y772" s="248"/>
      <c r="Z772" s="248"/>
      <c r="AA772" s="248"/>
    </row>
    <row r="773" ht="14.25" customHeight="1">
      <c r="F773" s="173"/>
      <c r="G773" s="173"/>
      <c r="H773" s="173"/>
      <c r="Y773" s="248"/>
      <c r="Z773" s="248"/>
      <c r="AA773" s="248"/>
    </row>
    <row r="774" ht="14.25" customHeight="1">
      <c r="F774" s="173"/>
      <c r="G774" s="173"/>
      <c r="H774" s="173"/>
      <c r="Y774" s="248"/>
      <c r="Z774" s="248"/>
      <c r="AA774" s="248"/>
    </row>
    <row r="775" ht="14.25" customHeight="1">
      <c r="F775" s="173"/>
      <c r="G775" s="173"/>
      <c r="H775" s="173"/>
      <c r="Y775" s="248"/>
      <c r="Z775" s="248"/>
      <c r="AA775" s="248"/>
    </row>
    <row r="776" ht="14.25" customHeight="1">
      <c r="F776" s="173"/>
      <c r="G776" s="173"/>
      <c r="H776" s="173"/>
      <c r="Y776" s="248"/>
      <c r="Z776" s="248"/>
      <c r="AA776" s="248"/>
    </row>
    <row r="777" ht="14.25" customHeight="1">
      <c r="F777" s="173"/>
      <c r="G777" s="173"/>
      <c r="H777" s="173"/>
      <c r="Y777" s="248"/>
      <c r="Z777" s="248"/>
      <c r="AA777" s="248"/>
    </row>
    <row r="778" ht="14.25" customHeight="1">
      <c r="F778" s="173"/>
      <c r="G778" s="173"/>
      <c r="H778" s="173"/>
      <c r="Y778" s="248"/>
      <c r="Z778" s="248"/>
      <c r="AA778" s="248"/>
    </row>
    <row r="779" ht="14.25" customHeight="1">
      <c r="F779" s="173"/>
      <c r="G779" s="173"/>
      <c r="H779" s="173"/>
      <c r="Y779" s="248"/>
      <c r="Z779" s="248"/>
      <c r="AA779" s="248"/>
    </row>
    <row r="780" ht="14.25" customHeight="1">
      <c r="F780" s="173"/>
      <c r="G780" s="173"/>
      <c r="H780" s="173"/>
      <c r="Y780" s="248"/>
      <c r="Z780" s="248"/>
      <c r="AA780" s="248"/>
    </row>
    <row r="781" ht="14.25" customHeight="1">
      <c r="F781" s="173"/>
      <c r="G781" s="173"/>
      <c r="H781" s="173"/>
      <c r="Y781" s="248"/>
      <c r="Z781" s="248"/>
      <c r="AA781" s="248"/>
    </row>
    <row r="782" ht="14.25" customHeight="1">
      <c r="F782" s="173"/>
      <c r="G782" s="173"/>
      <c r="H782" s="173"/>
      <c r="Y782" s="248"/>
      <c r="Z782" s="248"/>
      <c r="AA782" s="248"/>
    </row>
    <row r="783" ht="14.25" customHeight="1">
      <c r="F783" s="173"/>
      <c r="G783" s="173"/>
      <c r="H783" s="173"/>
      <c r="Y783" s="248"/>
      <c r="Z783" s="248"/>
      <c r="AA783" s="248"/>
    </row>
    <row r="784" ht="14.25" customHeight="1">
      <c r="F784" s="173"/>
      <c r="G784" s="173"/>
      <c r="H784" s="173"/>
      <c r="Y784" s="248"/>
      <c r="Z784" s="248"/>
      <c r="AA784" s="248"/>
    </row>
    <row r="785" ht="14.25" customHeight="1">
      <c r="F785" s="173"/>
      <c r="G785" s="173"/>
      <c r="H785" s="173"/>
      <c r="Y785" s="248"/>
      <c r="Z785" s="248"/>
      <c r="AA785" s="248"/>
    </row>
    <row r="786" ht="14.25" customHeight="1">
      <c r="F786" s="173"/>
      <c r="G786" s="173"/>
      <c r="H786" s="173"/>
      <c r="Y786" s="248"/>
      <c r="Z786" s="248"/>
      <c r="AA786" s="248"/>
    </row>
    <row r="787" ht="14.25" customHeight="1">
      <c r="F787" s="173"/>
      <c r="G787" s="173"/>
      <c r="H787" s="173"/>
      <c r="Y787" s="248"/>
      <c r="Z787" s="248"/>
      <c r="AA787" s="248"/>
    </row>
    <row r="788" ht="14.25" customHeight="1">
      <c r="F788" s="173"/>
      <c r="G788" s="173"/>
      <c r="H788" s="173"/>
      <c r="Y788" s="248"/>
      <c r="Z788" s="248"/>
      <c r="AA788" s="248"/>
    </row>
    <row r="789" ht="14.25" customHeight="1">
      <c r="F789" s="173"/>
      <c r="G789" s="173"/>
      <c r="H789" s="173"/>
      <c r="Y789" s="248"/>
      <c r="Z789" s="248"/>
      <c r="AA789" s="248"/>
    </row>
    <row r="790" ht="14.25" customHeight="1">
      <c r="F790" s="173"/>
      <c r="G790" s="173"/>
      <c r="H790" s="173"/>
      <c r="Y790" s="248"/>
      <c r="Z790" s="248"/>
      <c r="AA790" s="248"/>
    </row>
    <row r="791" ht="14.25" customHeight="1">
      <c r="F791" s="173"/>
      <c r="G791" s="173"/>
      <c r="H791" s="173"/>
      <c r="Y791" s="248"/>
      <c r="Z791" s="248"/>
      <c r="AA791" s="248"/>
    </row>
    <row r="792" ht="14.25" customHeight="1">
      <c r="F792" s="173"/>
      <c r="G792" s="173"/>
      <c r="H792" s="173"/>
      <c r="Y792" s="248"/>
      <c r="Z792" s="248"/>
      <c r="AA792" s="248"/>
    </row>
    <row r="793" ht="14.25" customHeight="1">
      <c r="F793" s="173"/>
      <c r="G793" s="173"/>
      <c r="H793" s="173"/>
      <c r="Y793" s="248"/>
      <c r="Z793" s="248"/>
      <c r="AA793" s="248"/>
    </row>
    <row r="794" ht="14.25" customHeight="1">
      <c r="F794" s="173"/>
      <c r="G794" s="173"/>
      <c r="H794" s="173"/>
      <c r="Y794" s="248"/>
      <c r="Z794" s="248"/>
      <c r="AA794" s="248"/>
    </row>
    <row r="795" ht="14.25" customHeight="1">
      <c r="F795" s="173"/>
      <c r="G795" s="173"/>
      <c r="H795" s="173"/>
      <c r="Y795" s="248"/>
      <c r="Z795" s="248"/>
      <c r="AA795" s="248"/>
    </row>
    <row r="796" ht="14.25" customHeight="1">
      <c r="F796" s="173"/>
      <c r="G796" s="173"/>
      <c r="H796" s="173"/>
      <c r="Y796" s="248"/>
      <c r="Z796" s="248"/>
      <c r="AA796" s="248"/>
    </row>
    <row r="797" ht="14.25" customHeight="1">
      <c r="F797" s="173"/>
      <c r="G797" s="173"/>
      <c r="H797" s="173"/>
      <c r="Y797" s="248"/>
      <c r="Z797" s="248"/>
      <c r="AA797" s="248"/>
    </row>
    <row r="798" ht="14.25" customHeight="1">
      <c r="F798" s="173"/>
      <c r="G798" s="173"/>
      <c r="H798" s="173"/>
      <c r="Y798" s="248"/>
      <c r="Z798" s="248"/>
      <c r="AA798" s="248"/>
    </row>
    <row r="799" ht="14.25" customHeight="1">
      <c r="F799" s="173"/>
      <c r="G799" s="173"/>
      <c r="H799" s="173"/>
      <c r="Y799" s="248"/>
      <c r="Z799" s="248"/>
      <c r="AA799" s="248"/>
    </row>
    <row r="800" ht="14.25" customHeight="1">
      <c r="F800" s="173"/>
      <c r="G800" s="173"/>
      <c r="H800" s="173"/>
      <c r="Y800" s="248"/>
      <c r="Z800" s="248"/>
      <c r="AA800" s="248"/>
    </row>
    <row r="801" ht="14.25" customHeight="1">
      <c r="F801" s="173"/>
      <c r="G801" s="173"/>
      <c r="H801" s="173"/>
      <c r="Y801" s="248"/>
      <c r="Z801" s="248"/>
      <c r="AA801" s="248"/>
    </row>
    <row r="802" ht="14.25" customHeight="1">
      <c r="F802" s="173"/>
      <c r="G802" s="173"/>
      <c r="H802" s="173"/>
      <c r="Y802" s="248"/>
      <c r="Z802" s="248"/>
      <c r="AA802" s="248"/>
    </row>
    <row r="803" ht="14.25" customHeight="1">
      <c r="F803" s="173"/>
      <c r="G803" s="173"/>
      <c r="H803" s="173"/>
      <c r="Y803" s="248"/>
      <c r="Z803" s="248"/>
      <c r="AA803" s="248"/>
    </row>
    <row r="804" ht="14.25" customHeight="1">
      <c r="F804" s="173"/>
      <c r="G804" s="173"/>
      <c r="H804" s="173"/>
      <c r="Y804" s="248"/>
      <c r="Z804" s="248"/>
      <c r="AA804" s="248"/>
    </row>
    <row r="805" ht="14.25" customHeight="1">
      <c r="F805" s="173"/>
      <c r="G805" s="173"/>
      <c r="H805" s="173"/>
      <c r="Y805" s="248"/>
      <c r="Z805" s="248"/>
      <c r="AA805" s="248"/>
    </row>
    <row r="806" ht="14.25" customHeight="1">
      <c r="F806" s="173"/>
      <c r="G806" s="173"/>
      <c r="H806" s="173"/>
      <c r="Y806" s="248"/>
      <c r="Z806" s="248"/>
      <c r="AA806" s="248"/>
    </row>
    <row r="807" ht="14.25" customHeight="1">
      <c r="F807" s="173"/>
      <c r="G807" s="173"/>
      <c r="H807" s="173"/>
      <c r="Y807" s="248"/>
      <c r="Z807" s="248"/>
      <c r="AA807" s="248"/>
    </row>
    <row r="808" ht="14.25" customHeight="1">
      <c r="F808" s="173"/>
      <c r="G808" s="173"/>
      <c r="H808" s="173"/>
      <c r="Y808" s="248"/>
      <c r="Z808" s="248"/>
      <c r="AA808" s="248"/>
    </row>
    <row r="809" ht="14.25" customHeight="1">
      <c r="F809" s="173"/>
      <c r="G809" s="173"/>
      <c r="H809" s="173"/>
      <c r="Y809" s="248"/>
      <c r="Z809" s="248"/>
      <c r="AA809" s="248"/>
    </row>
    <row r="810" ht="14.25" customHeight="1">
      <c r="F810" s="173"/>
      <c r="G810" s="173"/>
      <c r="H810" s="173"/>
      <c r="Y810" s="248"/>
      <c r="Z810" s="248"/>
      <c r="AA810" s="248"/>
    </row>
    <row r="811" ht="14.25" customHeight="1">
      <c r="F811" s="173"/>
      <c r="G811" s="173"/>
      <c r="H811" s="173"/>
      <c r="Y811" s="248"/>
      <c r="Z811" s="248"/>
      <c r="AA811" s="248"/>
    </row>
    <row r="812" ht="14.25" customHeight="1">
      <c r="F812" s="173"/>
      <c r="G812" s="173"/>
      <c r="H812" s="173"/>
      <c r="Y812" s="248"/>
      <c r="Z812" s="248"/>
      <c r="AA812" s="248"/>
    </row>
    <row r="813" ht="14.25" customHeight="1">
      <c r="F813" s="173"/>
      <c r="G813" s="173"/>
      <c r="H813" s="173"/>
      <c r="Y813" s="248"/>
      <c r="Z813" s="248"/>
      <c r="AA813" s="248"/>
    </row>
    <row r="814" ht="14.25" customHeight="1">
      <c r="F814" s="173"/>
      <c r="G814" s="173"/>
      <c r="H814" s="173"/>
      <c r="Y814" s="248"/>
      <c r="Z814" s="248"/>
      <c r="AA814" s="248"/>
    </row>
    <row r="815" ht="14.25" customHeight="1">
      <c r="F815" s="173"/>
      <c r="G815" s="173"/>
      <c r="H815" s="173"/>
      <c r="Y815" s="248"/>
      <c r="Z815" s="248"/>
      <c r="AA815" s="248"/>
    </row>
    <row r="816" ht="14.25" customHeight="1">
      <c r="F816" s="173"/>
      <c r="G816" s="173"/>
      <c r="H816" s="173"/>
      <c r="Y816" s="248"/>
      <c r="Z816" s="248"/>
      <c r="AA816" s="248"/>
    </row>
    <row r="817" ht="14.25" customHeight="1">
      <c r="F817" s="173"/>
      <c r="G817" s="173"/>
      <c r="H817" s="173"/>
      <c r="Y817" s="248"/>
      <c r="Z817" s="248"/>
      <c r="AA817" s="248"/>
    </row>
    <row r="818" ht="14.25" customHeight="1">
      <c r="F818" s="173"/>
      <c r="G818" s="173"/>
      <c r="H818" s="173"/>
      <c r="Y818" s="248"/>
      <c r="Z818" s="248"/>
      <c r="AA818" s="248"/>
    </row>
    <row r="819" ht="14.25" customHeight="1">
      <c r="F819" s="173"/>
      <c r="G819" s="173"/>
      <c r="H819" s="173"/>
      <c r="Y819" s="248"/>
      <c r="Z819" s="248"/>
      <c r="AA819" s="248"/>
    </row>
    <row r="820" ht="14.25" customHeight="1">
      <c r="F820" s="173"/>
      <c r="G820" s="173"/>
      <c r="H820" s="173"/>
      <c r="Y820" s="248"/>
      <c r="Z820" s="248"/>
      <c r="AA820" s="248"/>
    </row>
    <row r="821" ht="14.25" customHeight="1">
      <c r="F821" s="173"/>
      <c r="G821" s="173"/>
      <c r="H821" s="173"/>
      <c r="Y821" s="248"/>
      <c r="Z821" s="248"/>
      <c r="AA821" s="248"/>
    </row>
    <row r="822" ht="14.25" customHeight="1">
      <c r="F822" s="173"/>
      <c r="G822" s="173"/>
      <c r="H822" s="173"/>
      <c r="Y822" s="248"/>
      <c r="Z822" s="248"/>
      <c r="AA822" s="248"/>
    </row>
    <row r="823" ht="14.25" customHeight="1">
      <c r="F823" s="173"/>
      <c r="G823" s="173"/>
      <c r="H823" s="173"/>
      <c r="Y823" s="248"/>
      <c r="Z823" s="248"/>
      <c r="AA823" s="248"/>
    </row>
    <row r="824" ht="14.25" customHeight="1">
      <c r="F824" s="173"/>
      <c r="G824" s="173"/>
      <c r="H824" s="173"/>
      <c r="Y824" s="248"/>
      <c r="Z824" s="248"/>
      <c r="AA824" s="248"/>
    </row>
    <row r="825" ht="14.25" customHeight="1">
      <c r="F825" s="173"/>
      <c r="G825" s="173"/>
      <c r="H825" s="173"/>
      <c r="Y825" s="248"/>
      <c r="Z825" s="248"/>
      <c r="AA825" s="248"/>
    </row>
    <row r="826" ht="14.25" customHeight="1">
      <c r="F826" s="173"/>
      <c r="G826" s="173"/>
      <c r="H826" s="173"/>
      <c r="Y826" s="248"/>
      <c r="Z826" s="248"/>
      <c r="AA826" s="248"/>
    </row>
    <row r="827" ht="14.25" customHeight="1">
      <c r="F827" s="173"/>
      <c r="G827" s="173"/>
      <c r="H827" s="173"/>
      <c r="Y827" s="248"/>
      <c r="Z827" s="248"/>
      <c r="AA827" s="248"/>
    </row>
    <row r="828" ht="14.25" customHeight="1">
      <c r="F828" s="173"/>
      <c r="G828" s="173"/>
      <c r="H828" s="173"/>
      <c r="Y828" s="248"/>
      <c r="Z828" s="248"/>
      <c r="AA828" s="248"/>
    </row>
    <row r="829" ht="14.25" customHeight="1">
      <c r="F829" s="173"/>
      <c r="G829" s="173"/>
      <c r="H829" s="173"/>
      <c r="Y829" s="248"/>
      <c r="Z829" s="248"/>
      <c r="AA829" s="248"/>
    </row>
    <row r="830" ht="14.25" customHeight="1">
      <c r="F830" s="173"/>
      <c r="G830" s="173"/>
      <c r="H830" s="173"/>
      <c r="Y830" s="248"/>
      <c r="Z830" s="248"/>
      <c r="AA830" s="248"/>
    </row>
    <row r="831" ht="14.25" customHeight="1">
      <c r="F831" s="173"/>
      <c r="G831" s="173"/>
      <c r="H831" s="173"/>
      <c r="Y831" s="248"/>
      <c r="Z831" s="248"/>
      <c r="AA831" s="248"/>
    </row>
    <row r="832" ht="14.25" customHeight="1">
      <c r="F832" s="173"/>
      <c r="G832" s="173"/>
      <c r="H832" s="173"/>
      <c r="Y832" s="248"/>
      <c r="Z832" s="248"/>
      <c r="AA832" s="248"/>
    </row>
    <row r="833" ht="14.25" customHeight="1">
      <c r="F833" s="173"/>
      <c r="G833" s="173"/>
      <c r="H833" s="173"/>
      <c r="Y833" s="248"/>
      <c r="Z833" s="248"/>
      <c r="AA833" s="248"/>
    </row>
    <row r="834" ht="14.25" customHeight="1">
      <c r="F834" s="173"/>
      <c r="G834" s="173"/>
      <c r="H834" s="173"/>
      <c r="Y834" s="248"/>
      <c r="Z834" s="248"/>
      <c r="AA834" s="248"/>
    </row>
    <row r="835" ht="14.25" customHeight="1">
      <c r="F835" s="173"/>
      <c r="G835" s="173"/>
      <c r="H835" s="173"/>
      <c r="Y835" s="248"/>
      <c r="Z835" s="248"/>
      <c r="AA835" s="248"/>
    </row>
    <row r="836" ht="14.25" customHeight="1">
      <c r="F836" s="173"/>
      <c r="G836" s="173"/>
      <c r="H836" s="173"/>
      <c r="Y836" s="248"/>
      <c r="Z836" s="248"/>
      <c r="AA836" s="248"/>
    </row>
    <row r="837" ht="14.25" customHeight="1">
      <c r="F837" s="173"/>
      <c r="G837" s="173"/>
      <c r="H837" s="173"/>
      <c r="Y837" s="248"/>
      <c r="Z837" s="248"/>
      <c r="AA837" s="248"/>
    </row>
    <row r="838" ht="14.25" customHeight="1">
      <c r="F838" s="173"/>
      <c r="G838" s="173"/>
      <c r="H838" s="173"/>
      <c r="Y838" s="248"/>
      <c r="Z838" s="248"/>
      <c r="AA838" s="248"/>
    </row>
    <row r="839" ht="14.25" customHeight="1">
      <c r="F839" s="173"/>
      <c r="G839" s="173"/>
      <c r="H839" s="173"/>
      <c r="Y839" s="248"/>
      <c r="Z839" s="248"/>
      <c r="AA839" s="248"/>
    </row>
    <row r="840" ht="14.25" customHeight="1">
      <c r="F840" s="173"/>
      <c r="G840" s="173"/>
      <c r="H840" s="173"/>
      <c r="Y840" s="248"/>
      <c r="Z840" s="248"/>
      <c r="AA840" s="248"/>
    </row>
    <row r="841" ht="14.25" customHeight="1">
      <c r="F841" s="173"/>
      <c r="G841" s="173"/>
      <c r="H841" s="173"/>
      <c r="Y841" s="248"/>
      <c r="Z841" s="248"/>
      <c r="AA841" s="248"/>
    </row>
    <row r="842" ht="14.25" customHeight="1">
      <c r="F842" s="173"/>
      <c r="G842" s="173"/>
      <c r="H842" s="173"/>
      <c r="Y842" s="248"/>
      <c r="Z842" s="248"/>
      <c r="AA842" s="248"/>
    </row>
    <row r="843" ht="14.25" customHeight="1">
      <c r="F843" s="173"/>
      <c r="G843" s="173"/>
      <c r="H843" s="173"/>
      <c r="Y843" s="248"/>
      <c r="Z843" s="248"/>
      <c r="AA843" s="248"/>
    </row>
    <row r="844" ht="14.25" customHeight="1">
      <c r="F844" s="173"/>
      <c r="G844" s="173"/>
      <c r="H844" s="173"/>
      <c r="Y844" s="248"/>
      <c r="Z844" s="248"/>
      <c r="AA844" s="248"/>
    </row>
    <row r="845" ht="14.25" customHeight="1">
      <c r="F845" s="173"/>
      <c r="G845" s="173"/>
      <c r="H845" s="173"/>
      <c r="Y845" s="248"/>
      <c r="Z845" s="248"/>
      <c r="AA845" s="248"/>
    </row>
    <row r="846" ht="14.25" customHeight="1">
      <c r="F846" s="173"/>
      <c r="G846" s="173"/>
      <c r="H846" s="173"/>
      <c r="Y846" s="248"/>
      <c r="Z846" s="248"/>
      <c r="AA846" s="248"/>
    </row>
    <row r="847" ht="14.25" customHeight="1">
      <c r="F847" s="173"/>
      <c r="G847" s="173"/>
      <c r="H847" s="173"/>
      <c r="Y847" s="248"/>
      <c r="Z847" s="248"/>
      <c r="AA847" s="248"/>
    </row>
    <row r="848" ht="14.25" customHeight="1">
      <c r="F848" s="173"/>
      <c r="G848" s="173"/>
      <c r="H848" s="173"/>
      <c r="Y848" s="248"/>
      <c r="Z848" s="248"/>
      <c r="AA848" s="248"/>
    </row>
    <row r="849" ht="14.25" customHeight="1">
      <c r="F849" s="173"/>
      <c r="G849" s="173"/>
      <c r="H849" s="173"/>
      <c r="Y849" s="248"/>
      <c r="Z849" s="248"/>
      <c r="AA849" s="248"/>
    </row>
    <row r="850" ht="14.25" customHeight="1">
      <c r="F850" s="173"/>
      <c r="G850" s="173"/>
      <c r="H850" s="173"/>
      <c r="Y850" s="248"/>
      <c r="Z850" s="248"/>
      <c r="AA850" s="248"/>
    </row>
    <row r="851" ht="14.25" customHeight="1">
      <c r="F851" s="173"/>
      <c r="G851" s="173"/>
      <c r="H851" s="173"/>
      <c r="Y851" s="248"/>
      <c r="Z851" s="248"/>
      <c r="AA851" s="248"/>
    </row>
    <row r="852" ht="14.25" customHeight="1">
      <c r="F852" s="173"/>
      <c r="G852" s="173"/>
      <c r="H852" s="173"/>
      <c r="Y852" s="248"/>
      <c r="Z852" s="248"/>
      <c r="AA852" s="248"/>
    </row>
    <row r="853" ht="14.25" customHeight="1">
      <c r="F853" s="173"/>
      <c r="G853" s="173"/>
      <c r="H853" s="173"/>
      <c r="Y853" s="248"/>
      <c r="Z853" s="248"/>
      <c r="AA853" s="248"/>
    </row>
    <row r="854" ht="14.25" customHeight="1">
      <c r="F854" s="173"/>
      <c r="G854" s="173"/>
      <c r="H854" s="173"/>
      <c r="Y854" s="248"/>
      <c r="Z854" s="248"/>
      <c r="AA854" s="248"/>
    </row>
    <row r="855" ht="14.25" customHeight="1">
      <c r="F855" s="173"/>
      <c r="G855" s="173"/>
      <c r="H855" s="173"/>
      <c r="Y855" s="248"/>
      <c r="Z855" s="248"/>
      <c r="AA855" s="248"/>
    </row>
    <row r="856" ht="14.25" customHeight="1">
      <c r="F856" s="173"/>
      <c r="G856" s="173"/>
      <c r="H856" s="173"/>
      <c r="Y856" s="248"/>
      <c r="Z856" s="248"/>
      <c r="AA856" s="248"/>
    </row>
    <row r="857" ht="14.25" customHeight="1">
      <c r="F857" s="173"/>
      <c r="G857" s="173"/>
      <c r="H857" s="173"/>
      <c r="Y857" s="248"/>
      <c r="Z857" s="248"/>
      <c r="AA857" s="248"/>
    </row>
    <row r="858" ht="14.25" customHeight="1">
      <c r="F858" s="173"/>
      <c r="G858" s="173"/>
      <c r="H858" s="173"/>
      <c r="Y858" s="248"/>
      <c r="Z858" s="248"/>
      <c r="AA858" s="248"/>
    </row>
    <row r="859" ht="14.25" customHeight="1">
      <c r="F859" s="173"/>
      <c r="G859" s="173"/>
      <c r="H859" s="173"/>
      <c r="Y859" s="248"/>
      <c r="Z859" s="248"/>
      <c r="AA859" s="248"/>
    </row>
    <row r="860" ht="14.25" customHeight="1">
      <c r="F860" s="173"/>
      <c r="G860" s="173"/>
      <c r="H860" s="173"/>
      <c r="Y860" s="248"/>
      <c r="Z860" s="248"/>
      <c r="AA860" s="248"/>
    </row>
    <row r="861" ht="14.25" customHeight="1">
      <c r="F861" s="173"/>
      <c r="G861" s="173"/>
      <c r="H861" s="173"/>
      <c r="Y861" s="248"/>
      <c r="Z861" s="248"/>
      <c r="AA861" s="248"/>
    </row>
    <row r="862" ht="14.25" customHeight="1">
      <c r="F862" s="173"/>
      <c r="G862" s="173"/>
      <c r="H862" s="173"/>
      <c r="Y862" s="248"/>
      <c r="Z862" s="248"/>
      <c r="AA862" s="248"/>
    </row>
    <row r="863" ht="14.25" customHeight="1">
      <c r="F863" s="173"/>
      <c r="G863" s="173"/>
      <c r="H863" s="173"/>
      <c r="Y863" s="248"/>
      <c r="Z863" s="248"/>
      <c r="AA863" s="248"/>
    </row>
    <row r="864" ht="14.25" customHeight="1">
      <c r="F864" s="173"/>
      <c r="G864" s="173"/>
      <c r="H864" s="173"/>
      <c r="Y864" s="248"/>
      <c r="Z864" s="248"/>
      <c r="AA864" s="248"/>
    </row>
    <row r="865" ht="14.25" customHeight="1">
      <c r="F865" s="173"/>
      <c r="G865" s="173"/>
      <c r="H865" s="173"/>
      <c r="Y865" s="248"/>
      <c r="Z865" s="248"/>
      <c r="AA865" s="248"/>
    </row>
    <row r="866" ht="14.25" customHeight="1">
      <c r="F866" s="173"/>
      <c r="G866" s="173"/>
      <c r="H866" s="173"/>
      <c r="Y866" s="248"/>
      <c r="Z866" s="248"/>
      <c r="AA866" s="248"/>
    </row>
    <row r="867" ht="14.25" customHeight="1">
      <c r="F867" s="173"/>
      <c r="G867" s="173"/>
      <c r="H867" s="173"/>
      <c r="Y867" s="248"/>
      <c r="Z867" s="248"/>
      <c r="AA867" s="248"/>
    </row>
    <row r="868" ht="14.25" customHeight="1">
      <c r="F868" s="173"/>
      <c r="G868" s="173"/>
      <c r="H868" s="173"/>
      <c r="Y868" s="248"/>
      <c r="Z868" s="248"/>
      <c r="AA868" s="248"/>
    </row>
    <row r="869" ht="14.25" customHeight="1">
      <c r="F869" s="173"/>
      <c r="G869" s="173"/>
      <c r="H869" s="173"/>
      <c r="Y869" s="248"/>
      <c r="Z869" s="248"/>
      <c r="AA869" s="248"/>
    </row>
    <row r="870" ht="14.25" customHeight="1">
      <c r="F870" s="173"/>
      <c r="G870" s="173"/>
      <c r="H870" s="173"/>
      <c r="Y870" s="248"/>
      <c r="Z870" s="248"/>
      <c r="AA870" s="248"/>
    </row>
    <row r="871" ht="14.25" customHeight="1">
      <c r="F871" s="173"/>
      <c r="G871" s="173"/>
      <c r="H871" s="173"/>
      <c r="Y871" s="248"/>
      <c r="Z871" s="248"/>
      <c r="AA871" s="248"/>
    </row>
    <row r="872" ht="14.25" customHeight="1">
      <c r="F872" s="173"/>
      <c r="G872" s="173"/>
      <c r="H872" s="173"/>
      <c r="Y872" s="248"/>
      <c r="Z872" s="248"/>
      <c r="AA872" s="248"/>
    </row>
    <row r="873" ht="14.25" customHeight="1">
      <c r="F873" s="173"/>
      <c r="G873" s="173"/>
      <c r="H873" s="173"/>
      <c r="Y873" s="248"/>
      <c r="Z873" s="248"/>
      <c r="AA873" s="248"/>
    </row>
    <row r="874" ht="14.25" customHeight="1">
      <c r="F874" s="173"/>
      <c r="G874" s="173"/>
      <c r="H874" s="173"/>
      <c r="Y874" s="248"/>
      <c r="Z874" s="248"/>
      <c r="AA874" s="248"/>
    </row>
    <row r="875" ht="14.25" customHeight="1">
      <c r="F875" s="173"/>
      <c r="G875" s="173"/>
      <c r="H875" s="173"/>
      <c r="Y875" s="248"/>
      <c r="Z875" s="248"/>
      <c r="AA875" s="248"/>
    </row>
    <row r="876" ht="14.25" customHeight="1">
      <c r="F876" s="173"/>
      <c r="G876" s="173"/>
      <c r="H876" s="173"/>
      <c r="Y876" s="248"/>
      <c r="Z876" s="248"/>
      <c r="AA876" s="248"/>
    </row>
    <row r="877" ht="14.25" customHeight="1">
      <c r="F877" s="173"/>
      <c r="G877" s="173"/>
      <c r="H877" s="173"/>
      <c r="Y877" s="248"/>
      <c r="Z877" s="248"/>
      <c r="AA877" s="248"/>
    </row>
    <row r="878" ht="14.25" customHeight="1">
      <c r="F878" s="173"/>
      <c r="G878" s="173"/>
      <c r="H878" s="173"/>
      <c r="Y878" s="248"/>
      <c r="Z878" s="248"/>
      <c r="AA878" s="248"/>
    </row>
    <row r="879" ht="14.25" customHeight="1">
      <c r="F879" s="173"/>
      <c r="G879" s="173"/>
      <c r="H879" s="173"/>
      <c r="Y879" s="248"/>
      <c r="Z879" s="248"/>
      <c r="AA879" s="248"/>
    </row>
    <row r="880" ht="14.25" customHeight="1">
      <c r="F880" s="173"/>
      <c r="G880" s="173"/>
      <c r="H880" s="173"/>
      <c r="Y880" s="248"/>
      <c r="Z880" s="248"/>
      <c r="AA880" s="248"/>
    </row>
    <row r="881" ht="14.25" customHeight="1">
      <c r="F881" s="173"/>
      <c r="G881" s="173"/>
      <c r="H881" s="173"/>
      <c r="Y881" s="248"/>
      <c r="Z881" s="248"/>
      <c r="AA881" s="248"/>
    </row>
    <row r="882" ht="14.25" customHeight="1">
      <c r="F882" s="173"/>
      <c r="G882" s="173"/>
      <c r="H882" s="173"/>
      <c r="Y882" s="248"/>
      <c r="Z882" s="248"/>
      <c r="AA882" s="248"/>
    </row>
    <row r="883" ht="14.25" customHeight="1">
      <c r="F883" s="173"/>
      <c r="G883" s="173"/>
      <c r="H883" s="173"/>
      <c r="Y883" s="248"/>
      <c r="Z883" s="248"/>
      <c r="AA883" s="248"/>
    </row>
    <row r="884" ht="14.25" customHeight="1">
      <c r="F884" s="173"/>
      <c r="G884" s="173"/>
      <c r="H884" s="173"/>
      <c r="Y884" s="248"/>
      <c r="Z884" s="248"/>
      <c r="AA884" s="248"/>
    </row>
    <row r="885" ht="14.25" customHeight="1">
      <c r="F885" s="173"/>
      <c r="G885" s="173"/>
      <c r="H885" s="173"/>
      <c r="Y885" s="248"/>
      <c r="Z885" s="248"/>
      <c r="AA885" s="248"/>
    </row>
    <row r="886" ht="14.25" customHeight="1">
      <c r="F886" s="173"/>
      <c r="G886" s="173"/>
      <c r="H886" s="173"/>
      <c r="Y886" s="248"/>
      <c r="Z886" s="248"/>
      <c r="AA886" s="248"/>
    </row>
    <row r="887" ht="14.25" customHeight="1">
      <c r="F887" s="173"/>
      <c r="G887" s="173"/>
      <c r="H887" s="173"/>
      <c r="Y887" s="248"/>
      <c r="Z887" s="248"/>
      <c r="AA887" s="248"/>
    </row>
    <row r="888" ht="14.25" customHeight="1">
      <c r="F888" s="173"/>
      <c r="G888" s="173"/>
      <c r="H888" s="173"/>
      <c r="Y888" s="248"/>
      <c r="Z888" s="248"/>
      <c r="AA888" s="248"/>
    </row>
    <row r="889" ht="14.25" customHeight="1">
      <c r="F889" s="173"/>
      <c r="G889" s="173"/>
      <c r="H889" s="173"/>
      <c r="Y889" s="248"/>
      <c r="Z889" s="248"/>
      <c r="AA889" s="248"/>
    </row>
    <row r="890" ht="14.25" customHeight="1">
      <c r="F890" s="173"/>
      <c r="G890" s="173"/>
      <c r="H890" s="173"/>
      <c r="Y890" s="248"/>
      <c r="Z890" s="248"/>
      <c r="AA890" s="248"/>
    </row>
    <row r="891" ht="14.25" customHeight="1">
      <c r="F891" s="173"/>
      <c r="G891" s="173"/>
      <c r="H891" s="173"/>
      <c r="Y891" s="248"/>
      <c r="Z891" s="248"/>
      <c r="AA891" s="248"/>
    </row>
    <row r="892" ht="14.25" customHeight="1">
      <c r="F892" s="173"/>
      <c r="G892" s="173"/>
      <c r="H892" s="173"/>
      <c r="Y892" s="248"/>
      <c r="Z892" s="248"/>
      <c r="AA892" s="248"/>
    </row>
    <row r="893" ht="14.25" customHeight="1">
      <c r="F893" s="173"/>
      <c r="G893" s="173"/>
      <c r="H893" s="173"/>
      <c r="Y893" s="248"/>
      <c r="Z893" s="248"/>
      <c r="AA893" s="248"/>
    </row>
    <row r="894" ht="14.25" customHeight="1">
      <c r="F894" s="173"/>
      <c r="G894" s="173"/>
      <c r="H894" s="173"/>
      <c r="Y894" s="248"/>
      <c r="Z894" s="248"/>
      <c r="AA894" s="248"/>
    </row>
    <row r="895" ht="14.25" customHeight="1">
      <c r="F895" s="173"/>
      <c r="G895" s="173"/>
      <c r="H895" s="173"/>
      <c r="Y895" s="248"/>
      <c r="Z895" s="248"/>
      <c r="AA895" s="248"/>
    </row>
    <row r="896" ht="14.25" customHeight="1">
      <c r="F896" s="173"/>
      <c r="G896" s="173"/>
      <c r="H896" s="173"/>
      <c r="Y896" s="248"/>
      <c r="Z896" s="248"/>
      <c r="AA896" s="248"/>
    </row>
    <row r="897" ht="14.25" customHeight="1">
      <c r="F897" s="173"/>
      <c r="G897" s="173"/>
      <c r="H897" s="173"/>
      <c r="Y897" s="248"/>
      <c r="Z897" s="248"/>
      <c r="AA897" s="248"/>
    </row>
    <row r="898" ht="14.25" customHeight="1">
      <c r="F898" s="173"/>
      <c r="G898" s="173"/>
      <c r="H898" s="173"/>
      <c r="Y898" s="248"/>
      <c r="Z898" s="248"/>
      <c r="AA898" s="248"/>
    </row>
    <row r="899" ht="14.25" customHeight="1">
      <c r="F899" s="173"/>
      <c r="G899" s="173"/>
      <c r="H899" s="173"/>
      <c r="Y899" s="248"/>
      <c r="Z899" s="248"/>
      <c r="AA899" s="248"/>
    </row>
    <row r="900" ht="14.25" customHeight="1">
      <c r="F900" s="173"/>
      <c r="G900" s="173"/>
      <c r="H900" s="173"/>
      <c r="Y900" s="248"/>
      <c r="Z900" s="248"/>
      <c r="AA900" s="248"/>
    </row>
    <row r="901" ht="14.25" customHeight="1">
      <c r="F901" s="173"/>
      <c r="G901" s="173"/>
      <c r="H901" s="173"/>
      <c r="Y901" s="248"/>
      <c r="Z901" s="248"/>
      <c r="AA901" s="248"/>
    </row>
    <row r="902" ht="14.25" customHeight="1">
      <c r="F902" s="173"/>
      <c r="G902" s="173"/>
      <c r="H902" s="173"/>
      <c r="Y902" s="248"/>
      <c r="Z902" s="248"/>
      <c r="AA902" s="248"/>
    </row>
    <row r="903" ht="14.25" customHeight="1">
      <c r="F903" s="173"/>
      <c r="G903" s="173"/>
      <c r="H903" s="173"/>
      <c r="Y903" s="248"/>
      <c r="Z903" s="248"/>
      <c r="AA903" s="248"/>
    </row>
    <row r="904" ht="14.25" customHeight="1">
      <c r="F904" s="173"/>
      <c r="G904" s="173"/>
      <c r="H904" s="173"/>
      <c r="Y904" s="248"/>
      <c r="Z904" s="248"/>
      <c r="AA904" s="248"/>
    </row>
    <row r="905" ht="14.25" customHeight="1">
      <c r="F905" s="173"/>
      <c r="G905" s="173"/>
      <c r="H905" s="173"/>
      <c r="Y905" s="248"/>
      <c r="Z905" s="248"/>
      <c r="AA905" s="248"/>
    </row>
    <row r="906" ht="14.25" customHeight="1">
      <c r="F906" s="173"/>
      <c r="G906" s="173"/>
      <c r="H906" s="173"/>
      <c r="Y906" s="248"/>
      <c r="Z906" s="248"/>
      <c r="AA906" s="248"/>
    </row>
    <row r="907" ht="14.25" customHeight="1">
      <c r="F907" s="173"/>
      <c r="G907" s="173"/>
      <c r="H907" s="173"/>
      <c r="Y907" s="248"/>
      <c r="Z907" s="248"/>
      <c r="AA907" s="248"/>
    </row>
    <row r="908" ht="14.25" customHeight="1">
      <c r="F908" s="173"/>
      <c r="G908" s="173"/>
      <c r="H908" s="173"/>
      <c r="Y908" s="248"/>
      <c r="Z908" s="248"/>
      <c r="AA908" s="248"/>
    </row>
    <row r="909" ht="14.25" customHeight="1">
      <c r="F909" s="173"/>
      <c r="G909" s="173"/>
      <c r="H909" s="173"/>
      <c r="Y909" s="248"/>
      <c r="Z909" s="248"/>
      <c r="AA909" s="248"/>
    </row>
    <row r="910" ht="14.25" customHeight="1">
      <c r="F910" s="173"/>
      <c r="G910" s="173"/>
      <c r="H910" s="173"/>
      <c r="Y910" s="248"/>
      <c r="Z910" s="248"/>
      <c r="AA910" s="248"/>
    </row>
    <row r="911" ht="14.25" customHeight="1">
      <c r="F911" s="173"/>
      <c r="G911" s="173"/>
      <c r="H911" s="173"/>
      <c r="Y911" s="248"/>
      <c r="Z911" s="248"/>
      <c r="AA911" s="248"/>
    </row>
    <row r="912" ht="14.25" customHeight="1">
      <c r="F912" s="173"/>
      <c r="G912" s="173"/>
      <c r="H912" s="173"/>
      <c r="Y912" s="248"/>
      <c r="Z912" s="248"/>
      <c r="AA912" s="248"/>
    </row>
    <row r="913" ht="14.25" customHeight="1">
      <c r="F913" s="173"/>
      <c r="G913" s="173"/>
      <c r="H913" s="173"/>
      <c r="Y913" s="248"/>
      <c r="Z913" s="248"/>
      <c r="AA913" s="248"/>
    </row>
    <row r="914" ht="14.25" customHeight="1">
      <c r="F914" s="173"/>
      <c r="G914" s="173"/>
      <c r="H914" s="173"/>
      <c r="Y914" s="248"/>
      <c r="Z914" s="248"/>
      <c r="AA914" s="248"/>
    </row>
    <row r="915" ht="14.25" customHeight="1">
      <c r="F915" s="173"/>
      <c r="G915" s="173"/>
      <c r="H915" s="173"/>
      <c r="Y915" s="248"/>
      <c r="Z915" s="248"/>
      <c r="AA915" s="248"/>
    </row>
    <row r="916" ht="14.25" customHeight="1">
      <c r="F916" s="173"/>
      <c r="G916" s="173"/>
      <c r="H916" s="173"/>
      <c r="Y916" s="248"/>
      <c r="Z916" s="248"/>
      <c r="AA916" s="248"/>
    </row>
    <row r="917" ht="14.25" customHeight="1">
      <c r="F917" s="173"/>
      <c r="G917" s="173"/>
      <c r="H917" s="173"/>
      <c r="Y917" s="248"/>
      <c r="Z917" s="248"/>
      <c r="AA917" s="248"/>
    </row>
    <row r="918" ht="14.25" customHeight="1">
      <c r="F918" s="173"/>
      <c r="G918" s="173"/>
      <c r="H918" s="173"/>
      <c r="Y918" s="248"/>
      <c r="Z918" s="248"/>
      <c r="AA918" s="248"/>
    </row>
    <row r="919" ht="14.25" customHeight="1">
      <c r="F919" s="173"/>
      <c r="G919" s="173"/>
      <c r="H919" s="173"/>
      <c r="Y919" s="248"/>
      <c r="Z919" s="248"/>
      <c r="AA919" s="248"/>
    </row>
    <row r="920" ht="14.25" customHeight="1">
      <c r="F920" s="173"/>
      <c r="G920" s="173"/>
      <c r="H920" s="173"/>
      <c r="Y920" s="248"/>
      <c r="Z920" s="248"/>
      <c r="AA920" s="248"/>
    </row>
    <row r="921" ht="14.25" customHeight="1">
      <c r="F921" s="173"/>
      <c r="G921" s="173"/>
      <c r="H921" s="173"/>
      <c r="Y921" s="248"/>
      <c r="Z921" s="248"/>
      <c r="AA921" s="248"/>
    </row>
    <row r="922" ht="14.25" customHeight="1">
      <c r="F922" s="173"/>
      <c r="G922" s="173"/>
      <c r="H922" s="173"/>
      <c r="Y922" s="248"/>
      <c r="Z922" s="248"/>
      <c r="AA922" s="248"/>
    </row>
    <row r="923" ht="14.25" customHeight="1">
      <c r="F923" s="173"/>
      <c r="G923" s="173"/>
      <c r="H923" s="173"/>
      <c r="Y923" s="248"/>
      <c r="Z923" s="248"/>
      <c r="AA923" s="248"/>
    </row>
    <row r="924" ht="14.25" customHeight="1">
      <c r="F924" s="173"/>
      <c r="G924" s="173"/>
      <c r="H924" s="173"/>
      <c r="Y924" s="248"/>
      <c r="Z924" s="248"/>
      <c r="AA924" s="248"/>
    </row>
    <row r="925" ht="14.25" customHeight="1">
      <c r="F925" s="173"/>
      <c r="G925" s="173"/>
      <c r="H925" s="173"/>
      <c r="Y925" s="248"/>
      <c r="Z925" s="248"/>
      <c r="AA925" s="248"/>
    </row>
    <row r="926" ht="14.25" customHeight="1">
      <c r="F926" s="173"/>
      <c r="G926" s="173"/>
      <c r="H926" s="173"/>
      <c r="Y926" s="248"/>
      <c r="Z926" s="248"/>
      <c r="AA926" s="248"/>
    </row>
    <row r="927" ht="14.25" customHeight="1">
      <c r="F927" s="173"/>
      <c r="G927" s="173"/>
      <c r="H927" s="173"/>
      <c r="Y927" s="248"/>
      <c r="Z927" s="248"/>
      <c r="AA927" s="248"/>
    </row>
    <row r="928" ht="14.25" customHeight="1">
      <c r="F928" s="173"/>
      <c r="G928" s="173"/>
      <c r="H928" s="173"/>
      <c r="Y928" s="248"/>
      <c r="Z928" s="248"/>
      <c r="AA928" s="248"/>
    </row>
    <row r="929" ht="14.25" customHeight="1">
      <c r="F929" s="173"/>
      <c r="G929" s="173"/>
      <c r="H929" s="173"/>
      <c r="Y929" s="248"/>
      <c r="Z929" s="248"/>
      <c r="AA929" s="248"/>
    </row>
    <row r="930" ht="14.25" customHeight="1">
      <c r="F930" s="173"/>
      <c r="G930" s="173"/>
      <c r="H930" s="173"/>
      <c r="Y930" s="248"/>
      <c r="Z930" s="248"/>
      <c r="AA930" s="248"/>
    </row>
    <row r="931" ht="14.25" customHeight="1">
      <c r="F931" s="173"/>
      <c r="G931" s="173"/>
      <c r="H931" s="173"/>
      <c r="Y931" s="248"/>
      <c r="Z931" s="248"/>
      <c r="AA931" s="248"/>
    </row>
    <row r="932" ht="14.25" customHeight="1">
      <c r="F932" s="173"/>
      <c r="G932" s="173"/>
      <c r="H932" s="173"/>
      <c r="Y932" s="248"/>
      <c r="Z932" s="248"/>
      <c r="AA932" s="248"/>
    </row>
    <row r="933" ht="14.25" customHeight="1">
      <c r="F933" s="173"/>
      <c r="G933" s="173"/>
      <c r="H933" s="173"/>
      <c r="Y933" s="248"/>
      <c r="Z933" s="248"/>
      <c r="AA933" s="248"/>
    </row>
    <row r="934" ht="14.25" customHeight="1">
      <c r="F934" s="173"/>
      <c r="G934" s="173"/>
      <c r="H934" s="173"/>
      <c r="Y934" s="248"/>
      <c r="Z934" s="248"/>
      <c r="AA934" s="248"/>
    </row>
    <row r="935" ht="14.25" customHeight="1">
      <c r="F935" s="173"/>
      <c r="G935" s="173"/>
      <c r="H935" s="173"/>
      <c r="Y935" s="248"/>
      <c r="Z935" s="248"/>
      <c r="AA935" s="248"/>
    </row>
    <row r="936" ht="14.25" customHeight="1">
      <c r="F936" s="173"/>
      <c r="G936" s="173"/>
      <c r="H936" s="173"/>
      <c r="Y936" s="248"/>
      <c r="Z936" s="248"/>
      <c r="AA936" s="248"/>
    </row>
    <row r="937" ht="14.25" customHeight="1">
      <c r="F937" s="173"/>
      <c r="G937" s="173"/>
      <c r="H937" s="173"/>
      <c r="Y937" s="248"/>
      <c r="Z937" s="248"/>
      <c r="AA937" s="248"/>
    </row>
    <row r="938" ht="14.25" customHeight="1">
      <c r="F938" s="173"/>
      <c r="G938" s="173"/>
      <c r="H938" s="173"/>
      <c r="Y938" s="248"/>
      <c r="Z938" s="248"/>
      <c r="AA938" s="248"/>
    </row>
    <row r="939" ht="14.25" customHeight="1">
      <c r="F939" s="173"/>
      <c r="G939" s="173"/>
      <c r="H939" s="173"/>
      <c r="Y939" s="248"/>
      <c r="Z939" s="248"/>
      <c r="AA939" s="248"/>
    </row>
    <row r="940" ht="14.25" customHeight="1">
      <c r="F940" s="173"/>
      <c r="G940" s="173"/>
      <c r="H940" s="173"/>
      <c r="Y940" s="248"/>
      <c r="Z940" s="248"/>
      <c r="AA940" s="248"/>
    </row>
    <row r="941" ht="14.25" customHeight="1">
      <c r="F941" s="173"/>
      <c r="G941" s="173"/>
      <c r="H941" s="173"/>
      <c r="Y941" s="248"/>
      <c r="Z941" s="248"/>
      <c r="AA941" s="248"/>
    </row>
    <row r="942" ht="14.25" customHeight="1">
      <c r="F942" s="173"/>
      <c r="G942" s="173"/>
      <c r="H942" s="173"/>
      <c r="Y942" s="248"/>
      <c r="Z942" s="248"/>
      <c r="AA942" s="248"/>
    </row>
    <row r="943" ht="14.25" customHeight="1">
      <c r="F943" s="173"/>
      <c r="G943" s="173"/>
      <c r="H943" s="173"/>
      <c r="Y943" s="248"/>
      <c r="Z943" s="248"/>
      <c r="AA943" s="248"/>
    </row>
    <row r="944" ht="14.25" customHeight="1">
      <c r="F944" s="173"/>
      <c r="G944" s="173"/>
      <c r="H944" s="173"/>
      <c r="Y944" s="248"/>
      <c r="Z944" s="248"/>
      <c r="AA944" s="248"/>
    </row>
    <row r="945" ht="14.25" customHeight="1">
      <c r="F945" s="173"/>
      <c r="G945" s="173"/>
      <c r="H945" s="173"/>
      <c r="Y945" s="248"/>
      <c r="Z945" s="248"/>
      <c r="AA945" s="248"/>
    </row>
    <row r="946" ht="14.25" customHeight="1">
      <c r="F946" s="173"/>
      <c r="G946" s="173"/>
      <c r="H946" s="173"/>
      <c r="Y946" s="248"/>
      <c r="Z946" s="248"/>
      <c r="AA946" s="248"/>
    </row>
    <row r="947" ht="14.25" customHeight="1">
      <c r="F947" s="173"/>
      <c r="G947" s="173"/>
      <c r="H947" s="173"/>
      <c r="Y947" s="248"/>
      <c r="Z947" s="248"/>
      <c r="AA947" s="248"/>
    </row>
    <row r="948" ht="14.25" customHeight="1">
      <c r="F948" s="173"/>
      <c r="G948" s="173"/>
      <c r="H948" s="173"/>
      <c r="Y948" s="248"/>
      <c r="Z948" s="248"/>
      <c r="AA948" s="248"/>
    </row>
    <row r="949" ht="14.25" customHeight="1">
      <c r="F949" s="173"/>
      <c r="G949" s="173"/>
      <c r="H949" s="173"/>
      <c r="Y949" s="248"/>
      <c r="Z949" s="248"/>
      <c r="AA949" s="248"/>
    </row>
    <row r="950" ht="14.25" customHeight="1">
      <c r="F950" s="173"/>
      <c r="G950" s="173"/>
      <c r="H950" s="173"/>
      <c r="Y950" s="248"/>
      <c r="Z950" s="248"/>
      <c r="AA950" s="248"/>
    </row>
    <row r="951" ht="14.25" customHeight="1">
      <c r="F951" s="173"/>
      <c r="G951" s="173"/>
      <c r="H951" s="173"/>
      <c r="Y951" s="248"/>
      <c r="Z951" s="248"/>
      <c r="AA951" s="248"/>
    </row>
    <row r="952" ht="14.25" customHeight="1">
      <c r="F952" s="173"/>
      <c r="G952" s="173"/>
      <c r="H952" s="173"/>
      <c r="Y952" s="248"/>
      <c r="Z952" s="248"/>
      <c r="AA952" s="248"/>
    </row>
    <row r="953" ht="14.25" customHeight="1">
      <c r="F953" s="173"/>
      <c r="G953" s="173"/>
      <c r="H953" s="173"/>
      <c r="Y953" s="248"/>
      <c r="Z953" s="248"/>
      <c r="AA953" s="248"/>
    </row>
    <row r="954" ht="14.25" customHeight="1">
      <c r="F954" s="173"/>
      <c r="G954" s="173"/>
      <c r="H954" s="173"/>
      <c r="Y954" s="248"/>
      <c r="Z954" s="248"/>
      <c r="AA954" s="248"/>
    </row>
    <row r="955" ht="14.25" customHeight="1">
      <c r="F955" s="173"/>
      <c r="G955" s="173"/>
      <c r="H955" s="173"/>
      <c r="Y955" s="248"/>
      <c r="Z955" s="248"/>
      <c r="AA955" s="248"/>
    </row>
    <row r="956" ht="14.25" customHeight="1">
      <c r="F956" s="173"/>
      <c r="G956" s="173"/>
      <c r="H956" s="173"/>
      <c r="Y956" s="248"/>
      <c r="Z956" s="248"/>
      <c r="AA956" s="248"/>
    </row>
    <row r="957" ht="14.25" customHeight="1">
      <c r="F957" s="173"/>
      <c r="G957" s="173"/>
      <c r="H957" s="173"/>
      <c r="Y957" s="248"/>
      <c r="Z957" s="248"/>
      <c r="AA957" s="248"/>
    </row>
    <row r="958" ht="14.25" customHeight="1">
      <c r="F958" s="173"/>
      <c r="G958" s="173"/>
      <c r="H958" s="173"/>
      <c r="Y958" s="248"/>
      <c r="Z958" s="248"/>
      <c r="AA958" s="248"/>
    </row>
    <row r="959" ht="14.25" customHeight="1">
      <c r="F959" s="173"/>
      <c r="G959" s="173"/>
      <c r="H959" s="173"/>
      <c r="Y959" s="248"/>
      <c r="Z959" s="248"/>
      <c r="AA959" s="248"/>
    </row>
    <row r="960" ht="14.25" customHeight="1">
      <c r="F960" s="173"/>
      <c r="G960" s="173"/>
      <c r="H960" s="173"/>
      <c r="Y960" s="248"/>
      <c r="Z960" s="248"/>
      <c r="AA960" s="248"/>
    </row>
    <row r="961" ht="14.25" customHeight="1">
      <c r="F961" s="173"/>
      <c r="G961" s="173"/>
      <c r="H961" s="173"/>
      <c r="Y961" s="248"/>
      <c r="Z961" s="248"/>
      <c r="AA961" s="248"/>
    </row>
    <row r="962" ht="14.25" customHeight="1">
      <c r="F962" s="173"/>
      <c r="G962" s="173"/>
      <c r="H962" s="173"/>
      <c r="Y962" s="248"/>
      <c r="Z962" s="248"/>
      <c r="AA962" s="248"/>
    </row>
    <row r="963" ht="14.25" customHeight="1">
      <c r="F963" s="173"/>
      <c r="G963" s="173"/>
      <c r="H963" s="173"/>
      <c r="Y963" s="248"/>
      <c r="Z963" s="248"/>
      <c r="AA963" s="248"/>
    </row>
    <row r="964" ht="14.25" customHeight="1">
      <c r="F964" s="173"/>
      <c r="G964" s="173"/>
      <c r="H964" s="173"/>
      <c r="Y964" s="248"/>
      <c r="Z964" s="248"/>
      <c r="AA964" s="248"/>
    </row>
    <row r="965" ht="14.25" customHeight="1">
      <c r="F965" s="173"/>
      <c r="G965" s="173"/>
      <c r="H965" s="173"/>
      <c r="Y965" s="248"/>
      <c r="Z965" s="248"/>
      <c r="AA965" s="248"/>
    </row>
    <row r="966" ht="14.25" customHeight="1">
      <c r="F966" s="173"/>
      <c r="G966" s="173"/>
      <c r="H966" s="173"/>
      <c r="Y966" s="248"/>
      <c r="Z966" s="248"/>
      <c r="AA966" s="248"/>
    </row>
    <row r="967" ht="14.25" customHeight="1">
      <c r="F967" s="173"/>
      <c r="G967" s="173"/>
      <c r="H967" s="173"/>
      <c r="Y967" s="248"/>
      <c r="Z967" s="248"/>
      <c r="AA967" s="248"/>
    </row>
    <row r="968" ht="14.25" customHeight="1">
      <c r="F968" s="173"/>
      <c r="G968" s="173"/>
      <c r="H968" s="173"/>
      <c r="Y968" s="248"/>
      <c r="Z968" s="248"/>
      <c r="AA968" s="248"/>
    </row>
    <row r="969" ht="14.25" customHeight="1">
      <c r="F969" s="173"/>
      <c r="G969" s="173"/>
      <c r="H969" s="173"/>
      <c r="Y969" s="248"/>
      <c r="Z969" s="248"/>
      <c r="AA969" s="248"/>
    </row>
    <row r="970" ht="14.25" customHeight="1">
      <c r="F970" s="173"/>
      <c r="G970" s="173"/>
      <c r="H970" s="173"/>
      <c r="Y970" s="248"/>
      <c r="Z970" s="248"/>
      <c r="AA970" s="248"/>
    </row>
    <row r="971" ht="14.25" customHeight="1">
      <c r="F971" s="173"/>
      <c r="G971" s="173"/>
      <c r="H971" s="173"/>
      <c r="Y971" s="248"/>
      <c r="Z971" s="248"/>
      <c r="AA971" s="248"/>
    </row>
    <row r="972" ht="14.25" customHeight="1">
      <c r="F972" s="173"/>
      <c r="G972" s="173"/>
      <c r="H972" s="173"/>
      <c r="Y972" s="248"/>
      <c r="Z972" s="248"/>
      <c r="AA972" s="248"/>
    </row>
    <row r="973" ht="14.25" customHeight="1">
      <c r="F973" s="173"/>
      <c r="G973" s="173"/>
      <c r="H973" s="173"/>
      <c r="Y973" s="248"/>
      <c r="Z973" s="248"/>
      <c r="AA973" s="248"/>
    </row>
    <row r="974" ht="14.25" customHeight="1">
      <c r="F974" s="173"/>
      <c r="G974" s="173"/>
      <c r="H974" s="173"/>
      <c r="Y974" s="248"/>
      <c r="Z974" s="248"/>
      <c r="AA974" s="248"/>
    </row>
    <row r="975" ht="14.25" customHeight="1">
      <c r="F975" s="173"/>
      <c r="G975" s="173"/>
      <c r="H975" s="173"/>
      <c r="Y975" s="248"/>
      <c r="Z975" s="248"/>
      <c r="AA975" s="248"/>
    </row>
    <row r="976" ht="14.25" customHeight="1">
      <c r="F976" s="173"/>
      <c r="G976" s="173"/>
      <c r="H976" s="173"/>
      <c r="Y976" s="248"/>
      <c r="Z976" s="248"/>
      <c r="AA976" s="248"/>
    </row>
    <row r="977" ht="14.25" customHeight="1">
      <c r="F977" s="173"/>
      <c r="G977" s="173"/>
      <c r="H977" s="173"/>
      <c r="Y977" s="248"/>
      <c r="Z977" s="248"/>
      <c r="AA977" s="248"/>
    </row>
    <row r="978" ht="14.25" customHeight="1">
      <c r="F978" s="173"/>
      <c r="G978" s="173"/>
      <c r="H978" s="173"/>
      <c r="Y978" s="248"/>
      <c r="Z978" s="248"/>
      <c r="AA978" s="248"/>
    </row>
    <row r="979" ht="14.25" customHeight="1">
      <c r="F979" s="173"/>
      <c r="G979" s="173"/>
      <c r="H979" s="173"/>
      <c r="Y979" s="248"/>
      <c r="Z979" s="248"/>
      <c r="AA979" s="248"/>
    </row>
    <row r="980" ht="14.25" customHeight="1">
      <c r="F980" s="173"/>
      <c r="G980" s="173"/>
      <c r="H980" s="173"/>
      <c r="Y980" s="248"/>
      <c r="Z980" s="248"/>
      <c r="AA980" s="248"/>
    </row>
    <row r="981" ht="14.25" customHeight="1">
      <c r="F981" s="173"/>
      <c r="G981" s="173"/>
      <c r="H981" s="173"/>
      <c r="Y981" s="248"/>
      <c r="Z981" s="248"/>
      <c r="AA981" s="248"/>
    </row>
    <row r="982" ht="14.25" customHeight="1">
      <c r="F982" s="173"/>
      <c r="G982" s="173"/>
      <c r="H982" s="173"/>
      <c r="Y982" s="248"/>
      <c r="Z982" s="248"/>
      <c r="AA982" s="248"/>
    </row>
    <row r="983" ht="14.25" customHeight="1">
      <c r="F983" s="173"/>
      <c r="G983" s="173"/>
      <c r="H983" s="173"/>
      <c r="Y983" s="248"/>
      <c r="Z983" s="248"/>
      <c r="AA983" s="248"/>
    </row>
    <row r="984" ht="14.25" customHeight="1">
      <c r="F984" s="173"/>
      <c r="G984" s="173"/>
      <c r="H984" s="173"/>
      <c r="Y984" s="248"/>
      <c r="Z984" s="248"/>
      <c r="AA984" s="248"/>
    </row>
    <row r="985" ht="14.25" customHeight="1">
      <c r="F985" s="173"/>
      <c r="G985" s="173"/>
      <c r="H985" s="173"/>
      <c r="Y985" s="248"/>
      <c r="Z985" s="248"/>
      <c r="AA985" s="248"/>
    </row>
    <row r="986" ht="14.25" customHeight="1">
      <c r="F986" s="173"/>
      <c r="G986" s="173"/>
      <c r="H986" s="173"/>
      <c r="Y986" s="248"/>
      <c r="Z986" s="248"/>
      <c r="AA986" s="248"/>
    </row>
    <row r="987" ht="14.25" customHeight="1">
      <c r="F987" s="173"/>
      <c r="G987" s="173"/>
      <c r="H987" s="173"/>
      <c r="Y987" s="248"/>
      <c r="Z987" s="248"/>
      <c r="AA987" s="248"/>
    </row>
    <row r="988" ht="14.25" customHeight="1">
      <c r="F988" s="173"/>
      <c r="G988" s="173"/>
      <c r="H988" s="173"/>
      <c r="Y988" s="248"/>
      <c r="Z988" s="248"/>
      <c r="AA988" s="248"/>
    </row>
    <row r="989" ht="14.25" customHeight="1">
      <c r="F989" s="173"/>
      <c r="G989" s="173"/>
      <c r="H989" s="173"/>
      <c r="Y989" s="248"/>
      <c r="Z989" s="248"/>
      <c r="AA989" s="248"/>
    </row>
    <row r="990" ht="14.25" customHeight="1">
      <c r="F990" s="173"/>
      <c r="G990" s="173"/>
      <c r="H990" s="173"/>
      <c r="Y990" s="248"/>
      <c r="Z990" s="248"/>
      <c r="AA990" s="248"/>
    </row>
    <row r="991" ht="14.25" customHeight="1">
      <c r="F991" s="173"/>
      <c r="G991" s="173"/>
      <c r="H991" s="173"/>
      <c r="Y991" s="248"/>
      <c r="Z991" s="248"/>
      <c r="AA991" s="248"/>
    </row>
    <row r="992" ht="14.25" customHeight="1">
      <c r="F992" s="173"/>
      <c r="G992" s="173"/>
      <c r="H992" s="173"/>
      <c r="Y992" s="248"/>
      <c r="Z992" s="248"/>
      <c r="AA992" s="248"/>
    </row>
    <row r="993" ht="14.25" customHeight="1">
      <c r="F993" s="173"/>
      <c r="G993" s="173"/>
      <c r="H993" s="173"/>
      <c r="Y993" s="248"/>
      <c r="Z993" s="248"/>
      <c r="AA993" s="248"/>
    </row>
    <row r="994" ht="14.25" customHeight="1">
      <c r="F994" s="173"/>
      <c r="G994" s="173"/>
      <c r="H994" s="173"/>
      <c r="Y994" s="248"/>
      <c r="Z994" s="248"/>
      <c r="AA994" s="248"/>
    </row>
    <row r="995" ht="14.25" customHeight="1">
      <c r="F995" s="173"/>
      <c r="G995" s="173"/>
      <c r="H995" s="173"/>
      <c r="Y995" s="248"/>
      <c r="Z995" s="248"/>
      <c r="AA995" s="248"/>
    </row>
    <row r="996" ht="14.25" customHeight="1">
      <c r="F996" s="173"/>
      <c r="G996" s="173"/>
      <c r="H996" s="173"/>
      <c r="Y996" s="248"/>
      <c r="Z996" s="248"/>
      <c r="AA996" s="248"/>
    </row>
    <row r="997" ht="14.25" customHeight="1">
      <c r="F997" s="173"/>
      <c r="G997" s="173"/>
      <c r="H997" s="173"/>
      <c r="Y997" s="248"/>
      <c r="Z997" s="248"/>
      <c r="AA997" s="248"/>
    </row>
    <row r="998" ht="14.25" customHeight="1">
      <c r="F998" s="173"/>
      <c r="G998" s="173"/>
      <c r="H998" s="173"/>
      <c r="Y998" s="248"/>
      <c r="Z998" s="248"/>
      <c r="AA998" s="248"/>
    </row>
    <row r="999" ht="14.25" customHeight="1">
      <c r="F999" s="173"/>
      <c r="G999" s="173"/>
      <c r="H999" s="173"/>
      <c r="Y999" s="248"/>
      <c r="Z999" s="248"/>
      <c r="AA999" s="248"/>
    </row>
    <row r="1000" ht="14.25" customHeight="1">
      <c r="F1000" s="173"/>
      <c r="G1000" s="173"/>
      <c r="H1000" s="173"/>
      <c r="Y1000" s="248"/>
      <c r="Z1000" s="248"/>
      <c r="AA1000" s="248"/>
    </row>
  </sheetData>
  <customSheetViews>
    <customSheetView guid="{41EAD126-16FB-4A8D-894A-CEA6439A4201}" filter="1" showAutoFilter="1">
      <autoFilter ref="$A$2:$AR$54"/>
    </customSheetView>
  </customSheetViews>
  <mergeCells count="9">
    <mergeCell ref="AK1:AN1"/>
    <mergeCell ref="AP1:AR1"/>
    <mergeCell ref="D1:E1"/>
    <mergeCell ref="F1:H1"/>
    <mergeCell ref="I1:U1"/>
    <mergeCell ref="V1:X1"/>
    <mergeCell ref="Y1:AC1"/>
    <mergeCell ref="AD1:AG1"/>
    <mergeCell ref="AH1:AJ1"/>
  </mergeCells>
  <conditionalFormatting sqref="AB3:AB54">
    <cfRule type="containsText" dxfId="4" priority="1" operator="containsText" text="SI">
      <formula>NOT(ISERROR(SEARCH(("SI"),(AB3))))</formula>
    </cfRule>
  </conditionalFormatting>
  <conditionalFormatting sqref="AB3:AB54">
    <cfRule type="containsText" dxfId="5" priority="2" operator="containsText" text="NO">
      <formula>NOT(ISERROR(SEARCH(("NO"),(AB3))))</formula>
    </cfRule>
  </conditionalFormatting>
  <conditionalFormatting sqref="AF3:AF54">
    <cfRule type="containsText" dxfId="4" priority="3" operator="containsText" text="SI">
      <formula>NOT(ISERROR(SEARCH(("SI"),(AF3))))</formula>
    </cfRule>
  </conditionalFormatting>
  <conditionalFormatting sqref="AF3:AF54">
    <cfRule type="containsText" dxfId="5" priority="4" operator="containsText" text="NO">
      <formula>NOT(ISERROR(SEARCH(("NO"),(AF3))))</formula>
    </cfRule>
  </conditionalFormatting>
  <conditionalFormatting sqref="AR1:AR1000">
    <cfRule type="notContainsBlanks" dxfId="8" priority="5">
      <formula>LEN(TRIM(AR1))&gt;0</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4.0"/>
    <col customWidth="1" min="2" max="2" width="15.14"/>
    <col customWidth="1" min="3" max="3" width="40.14"/>
    <col customWidth="1" min="4" max="4" width="14.43"/>
    <col customWidth="1" min="5" max="5" width="0.43"/>
    <col customWidth="1" min="6" max="8" width="6.86"/>
    <col customWidth="1" min="9" max="20" width="6.71"/>
    <col customWidth="1" min="21" max="21" width="13.0"/>
    <col customWidth="1" min="22" max="24" width="11.43"/>
    <col customWidth="1" min="25" max="27" width="8.0"/>
    <col customWidth="1" min="28" max="40" width="11.43"/>
    <col customWidth="1" min="41" max="41" width="15.14"/>
    <col customWidth="1" min="42" max="44" width="11.43"/>
  </cols>
  <sheetData>
    <row r="1" ht="68.25" customHeight="1">
      <c r="D1" s="1" t="s">
        <v>449</v>
      </c>
      <c r="E1" s="2"/>
      <c r="F1" s="3" t="s">
        <v>1</v>
      </c>
      <c r="G1" s="4"/>
      <c r="H1" s="5"/>
      <c r="I1" s="6" t="s">
        <v>2</v>
      </c>
      <c r="J1" s="4"/>
      <c r="K1" s="4"/>
      <c r="L1" s="4"/>
      <c r="M1" s="4"/>
      <c r="N1" s="4"/>
      <c r="O1" s="4"/>
      <c r="P1" s="4"/>
      <c r="Q1" s="4"/>
      <c r="R1" s="4"/>
      <c r="S1" s="4"/>
      <c r="T1" s="4"/>
      <c r="U1" s="5"/>
      <c r="V1" s="7" t="s">
        <v>3</v>
      </c>
      <c r="W1" s="4"/>
      <c r="X1" s="5"/>
      <c r="Y1" s="8" t="s">
        <v>4</v>
      </c>
      <c r="Z1" s="4"/>
      <c r="AA1" s="4"/>
      <c r="AB1" s="4"/>
      <c r="AC1" s="5"/>
      <c r="AD1" s="249" t="s">
        <v>251</v>
      </c>
      <c r="AE1" s="4"/>
      <c r="AF1" s="4"/>
      <c r="AG1" s="10"/>
      <c r="AH1" s="11" t="s">
        <v>6</v>
      </c>
      <c r="AI1" s="4"/>
      <c r="AJ1" s="5"/>
      <c r="AK1" s="176" t="s">
        <v>252</v>
      </c>
      <c r="AL1" s="4"/>
      <c r="AM1" s="4"/>
      <c r="AN1" s="5"/>
      <c r="AO1" s="13" t="s">
        <v>8</v>
      </c>
      <c r="AP1" s="14" t="s">
        <v>9</v>
      </c>
      <c r="AQ1" s="4"/>
      <c r="AR1" s="5"/>
    </row>
    <row r="2" ht="29.25" customHeight="1">
      <c r="A2" s="15" t="s">
        <v>10</v>
      </c>
      <c r="B2" s="16" t="s">
        <v>11</v>
      </c>
      <c r="C2" s="16" t="s">
        <v>12</v>
      </c>
      <c r="D2" s="17" t="s">
        <v>13</v>
      </c>
      <c r="E2" s="16" t="s">
        <v>14</v>
      </c>
      <c r="F2" s="18" t="s">
        <v>15</v>
      </c>
      <c r="G2" s="18" t="s">
        <v>16</v>
      </c>
      <c r="H2" s="18" t="s">
        <v>17</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30" t="s">
        <v>34</v>
      </c>
      <c r="Z2" s="30" t="s">
        <v>35</v>
      </c>
      <c r="AA2" s="30" t="s">
        <v>36</v>
      </c>
      <c r="AB2" s="30" t="s">
        <v>37</v>
      </c>
      <c r="AC2" s="30" t="s">
        <v>38</v>
      </c>
      <c r="AD2" s="31" t="s">
        <v>39</v>
      </c>
      <c r="AE2" s="31" t="s">
        <v>40</v>
      </c>
      <c r="AF2" s="31" t="s">
        <v>41</v>
      </c>
      <c r="AG2" s="32" t="s">
        <v>42</v>
      </c>
      <c r="AH2" s="33" t="s">
        <v>43</v>
      </c>
      <c r="AI2" s="33" t="s">
        <v>44</v>
      </c>
      <c r="AJ2" s="34" t="s">
        <v>45</v>
      </c>
      <c r="AK2" s="35" t="s">
        <v>46</v>
      </c>
      <c r="AL2" s="36" t="s">
        <v>47</v>
      </c>
      <c r="AM2" s="37" t="s">
        <v>48</v>
      </c>
      <c r="AN2" s="38" t="s">
        <v>49</v>
      </c>
      <c r="AO2" s="39" t="s">
        <v>50</v>
      </c>
      <c r="AP2" s="40" t="s">
        <v>51</v>
      </c>
      <c r="AQ2" s="40" t="s">
        <v>52</v>
      </c>
      <c r="AR2" s="41" t="s">
        <v>53</v>
      </c>
    </row>
    <row r="3" ht="14.25" customHeight="1">
      <c r="A3" s="42" t="s">
        <v>54</v>
      </c>
      <c r="B3" s="43" t="s">
        <v>55</v>
      </c>
      <c r="C3" s="43" t="s">
        <v>56</v>
      </c>
      <c r="D3" s="43">
        <v>0.0</v>
      </c>
      <c r="E3" s="43">
        <v>1.0</v>
      </c>
      <c r="F3" s="43">
        <v>1.0</v>
      </c>
      <c r="G3" s="43">
        <v>1.0</v>
      </c>
      <c r="H3" s="43">
        <v>1.0</v>
      </c>
      <c r="I3" s="43">
        <v>3.0</v>
      </c>
      <c r="J3" s="43">
        <v>2.0</v>
      </c>
      <c r="K3" s="43">
        <v>5.0</v>
      </c>
      <c r="L3" s="43">
        <f>SUM('P105'!$I3:$K3)</f>
        <v>10</v>
      </c>
      <c r="M3" s="43">
        <v>3.0</v>
      </c>
      <c r="N3" s="43">
        <v>2.0</v>
      </c>
      <c r="O3" s="43">
        <v>5.0</v>
      </c>
      <c r="P3" s="43">
        <f>SUM('P105'!$M3:$O3)</f>
        <v>10</v>
      </c>
      <c r="Q3" s="43">
        <v>3.0</v>
      </c>
      <c r="R3" s="43">
        <v>2.0</v>
      </c>
      <c r="S3" s="43">
        <v>5.0</v>
      </c>
      <c r="T3" s="43">
        <f>SUM('P105'!$Q3:$S3)</f>
        <v>10</v>
      </c>
      <c r="U3" s="43">
        <f>('P105'!$L3+'P105'!$P3+'P105'!$T3)*'P105'!$F3</f>
        <v>30</v>
      </c>
      <c r="V3" s="43">
        <v>5.0</v>
      </c>
      <c r="W3" s="43">
        <v>10.0</v>
      </c>
      <c r="X3" s="44">
        <f>SUM('P105'!$V3:$W3)*'P105'!$G3</f>
        <v>15</v>
      </c>
      <c r="Y3" s="43">
        <v>2.0</v>
      </c>
      <c r="Z3" s="43">
        <v>3.0</v>
      </c>
      <c r="AA3" s="43">
        <v>5.0</v>
      </c>
      <c r="AB3" s="43" t="str">
        <f>IF(SUM('P105'!$Y3:$AA3)&gt;5.9,"SI","NO")</f>
        <v>SI</v>
      </c>
      <c r="AC3" s="43">
        <f>SUM('P105'!$Y3:$AA3)</f>
        <v>10</v>
      </c>
      <c r="AD3" s="43">
        <v>2.0</v>
      </c>
      <c r="AE3" s="43">
        <v>8.0</v>
      </c>
      <c r="AF3" s="43" t="str">
        <f>IF('P105'!$AG3&gt;5.9,"SI","NO")</f>
        <v>SI</v>
      </c>
      <c r="AG3" s="43">
        <f>SUM('P105'!$AD3:$AE3)</f>
        <v>10</v>
      </c>
      <c r="AH3" s="44">
        <v>5.0</v>
      </c>
      <c r="AI3" s="44">
        <v>5.0</v>
      </c>
      <c r="AJ3" s="44">
        <f>AVERAGE('P105'!$AH3:$AI3)</f>
        <v>5</v>
      </c>
      <c r="AK3" s="43">
        <v>1.0</v>
      </c>
      <c r="AL3" s="45">
        <v>10.0</v>
      </c>
      <c r="AM3" s="45">
        <v>10.0</v>
      </c>
      <c r="AN3" s="43">
        <f>(('P105'!$AL3+'P105'!$AM3))*'P105'!$AK3</f>
        <v>20</v>
      </c>
      <c r="AO3" s="43">
        <f t="shared" ref="AO3:AO51" si="1">10*H3</f>
        <v>10</v>
      </c>
      <c r="AP3" s="43">
        <f>SUM('P105'!$U3)</f>
        <v>30</v>
      </c>
      <c r="AQ3" s="47">
        <f>SUM(AN3,AJ3,AG3,AC3,X3,'P105'!$AO3)</f>
        <v>70</v>
      </c>
      <c r="AR3" s="47">
        <f>'P105'!$AP3+'P105'!$AQ3</f>
        <v>100</v>
      </c>
    </row>
    <row r="4" ht="14.25" customHeight="1">
      <c r="A4" s="250" t="s">
        <v>450</v>
      </c>
      <c r="B4" s="103">
        <v>2.02410452E8</v>
      </c>
      <c r="C4" s="103" t="s">
        <v>451</v>
      </c>
      <c r="D4" s="251">
        <v>2.0</v>
      </c>
      <c r="E4" s="49"/>
      <c r="F4" s="252">
        <v>1.01273937</v>
      </c>
      <c r="G4" s="51">
        <v>1.055069923</v>
      </c>
      <c r="H4" s="51">
        <v>1.010152545</v>
      </c>
      <c r="I4" s="52">
        <v>3.0</v>
      </c>
      <c r="J4" s="53">
        <v>1.75</v>
      </c>
      <c r="K4" s="54">
        <v>4.9</v>
      </c>
      <c r="L4" s="55">
        <f>SUM('P105'!$I4:$K4)</f>
        <v>9.65</v>
      </c>
      <c r="M4" s="52">
        <v>3.0</v>
      </c>
      <c r="N4" s="53">
        <v>2.0</v>
      </c>
      <c r="O4" s="54">
        <v>5.0</v>
      </c>
      <c r="P4" s="55">
        <f>SUM('P105'!$M4:$O4)</f>
        <v>10</v>
      </c>
      <c r="Q4" s="52">
        <v>2.58</v>
      </c>
      <c r="R4" s="53">
        <v>2.0</v>
      </c>
      <c r="S4" s="54">
        <v>4.7</v>
      </c>
      <c r="T4" s="55">
        <f>SUM('P105'!$Q4:$S4)</f>
        <v>9.28</v>
      </c>
      <c r="U4" s="56">
        <f>('P105'!$L4+'P105'!$P4+'P105'!$T4)*'P105'!$F4</f>
        <v>29.29854997</v>
      </c>
      <c r="V4" s="57">
        <v>5.0</v>
      </c>
      <c r="W4" s="57">
        <v>9.8</v>
      </c>
      <c r="X4" s="58">
        <f>SUM('P105'!$V4:$W4)*'P105'!$G4</f>
        <v>15.61503486</v>
      </c>
      <c r="Y4" s="59">
        <v>1.0</v>
      </c>
      <c r="Z4" s="59">
        <v>1.5</v>
      </c>
      <c r="AA4" s="59">
        <v>1.25</v>
      </c>
      <c r="AB4" s="60" t="str">
        <f>IF(SUM('P105'!$Y4:$AA4)&gt;5.9,"SI","NO")</f>
        <v>NO</v>
      </c>
      <c r="AC4" s="61">
        <f>SUM('P105'!$Y4:$AA4)</f>
        <v>3.75</v>
      </c>
      <c r="AD4" s="62">
        <v>1.0</v>
      </c>
      <c r="AE4" s="62">
        <v>5.0</v>
      </c>
      <c r="AF4" s="63" t="str">
        <f>IF('P105'!$AG4&gt;5.9,"SI","NO")</f>
        <v>SI</v>
      </c>
      <c r="AG4" s="64">
        <f>SUM('P105'!$AD4:$AE4)</f>
        <v>6</v>
      </c>
      <c r="AH4" s="65">
        <v>4.0</v>
      </c>
      <c r="AI4" s="65">
        <v>4.0</v>
      </c>
      <c r="AJ4" s="66">
        <f>AVERAGE('P105'!$AH4:$AI4)</f>
        <v>4</v>
      </c>
      <c r="AK4" s="142">
        <v>1.0</v>
      </c>
      <c r="AL4" s="143">
        <v>7.0</v>
      </c>
      <c r="AM4" s="144">
        <v>7.0</v>
      </c>
      <c r="AN4" s="46">
        <f>(('P105'!$AL4+'P105'!$AM4))*'P105'!$AK4</f>
        <v>14</v>
      </c>
      <c r="AO4" s="70">
        <f t="shared" si="1"/>
        <v>10.10152545</v>
      </c>
      <c r="AP4" s="71">
        <f>SUM('P105'!$U4)</f>
        <v>29.29854997</v>
      </c>
      <c r="AQ4" s="71">
        <f>SUM(AN4,AJ4,AG4,AC4,X4,'P105'!$AO4)</f>
        <v>53.46656031</v>
      </c>
      <c r="AR4" s="247">
        <f>'P105'!$AP4+'P105'!$AQ4</f>
        <v>82.76511028</v>
      </c>
    </row>
    <row r="5" ht="14.25" customHeight="1">
      <c r="A5" s="250" t="s">
        <v>452</v>
      </c>
      <c r="B5" s="103">
        <v>2.02509105E8</v>
      </c>
      <c r="C5" s="103" t="s">
        <v>453</v>
      </c>
      <c r="D5" s="251">
        <v>8.0</v>
      </c>
      <c r="E5" s="49"/>
      <c r="F5" s="252">
        <v>1.0269798</v>
      </c>
      <c r="G5" s="51">
        <v>1.088214375</v>
      </c>
      <c r="H5" s="51">
        <v>1.001716739</v>
      </c>
      <c r="I5" s="52">
        <v>3.0</v>
      </c>
      <c r="J5" s="53">
        <v>2.0</v>
      </c>
      <c r="K5" s="54">
        <v>5.0</v>
      </c>
      <c r="L5" s="55">
        <f>SUM('P105'!$I5:$K5)</f>
        <v>10</v>
      </c>
      <c r="M5" s="52">
        <v>3.0</v>
      </c>
      <c r="N5" s="53">
        <v>2.0</v>
      </c>
      <c r="O5" s="54">
        <v>5.0</v>
      </c>
      <c r="P5" s="55">
        <f>SUM('P105'!$M5:$O5)</f>
        <v>10</v>
      </c>
      <c r="Q5" s="52">
        <v>1.8</v>
      </c>
      <c r="R5" s="53">
        <v>1.25</v>
      </c>
      <c r="S5" s="54">
        <v>4.7</v>
      </c>
      <c r="T5" s="55">
        <f>SUM('P105'!$Q5:$S5)</f>
        <v>7.75</v>
      </c>
      <c r="U5" s="56">
        <f>('P105'!$L5+'P105'!$P5+'P105'!$T5)*'P105'!$F5</f>
        <v>28.49868945</v>
      </c>
      <c r="V5" s="57">
        <v>2.9</v>
      </c>
      <c r="W5" s="57">
        <v>9.8</v>
      </c>
      <c r="X5" s="58">
        <f>SUM('P105'!$V5:$W5)*'P105'!$G5</f>
        <v>13.82032256</v>
      </c>
      <c r="Y5" s="59">
        <v>1.5</v>
      </c>
      <c r="Z5" s="59">
        <v>1.5</v>
      </c>
      <c r="AA5" s="59">
        <v>0.0</v>
      </c>
      <c r="AB5" s="60" t="str">
        <f>IF(SUM('P105'!$Y5:$AA5)&gt;5.9,"SI","NO")</f>
        <v>NO</v>
      </c>
      <c r="AC5" s="61">
        <f>SUM('P105'!$Y5:$AA5)</f>
        <v>3</v>
      </c>
      <c r="AD5" s="62">
        <v>1.8</v>
      </c>
      <c r="AE5" s="62">
        <v>5.2</v>
      </c>
      <c r="AF5" s="63" t="str">
        <f>IF('P105'!$AG5&gt;5.9,"SI","NO")</f>
        <v>SI</v>
      </c>
      <c r="AG5" s="64">
        <f>SUM('P105'!$AD5:$AE5)</f>
        <v>7</v>
      </c>
      <c r="AH5" s="65">
        <v>2.5</v>
      </c>
      <c r="AI5" s="65">
        <v>2.5</v>
      </c>
      <c r="AJ5" s="66">
        <f>AVERAGE('P105'!$AH5:$AI5)</f>
        <v>2.5</v>
      </c>
      <c r="AK5" s="142">
        <v>1.0</v>
      </c>
      <c r="AL5" s="143">
        <v>0.0</v>
      </c>
      <c r="AM5" s="144">
        <v>0.0</v>
      </c>
      <c r="AN5" s="46">
        <f>(('P105'!$AL5+'P105'!$AM5))*'P105'!$AK5</f>
        <v>0</v>
      </c>
      <c r="AO5" s="70">
        <f t="shared" si="1"/>
        <v>10.01716739</v>
      </c>
      <c r="AP5" s="71">
        <f>SUM('P105'!$U5)</f>
        <v>28.49868945</v>
      </c>
      <c r="AQ5" s="71">
        <f>SUM(AN5,AJ5,AG5,AC5,X5,'P105'!$AO5)</f>
        <v>36.33748995</v>
      </c>
      <c r="AR5" s="247">
        <f>'P105'!$AP5+'P105'!$AQ5</f>
        <v>64.8361794</v>
      </c>
    </row>
    <row r="6" ht="14.25" customHeight="1">
      <c r="A6" s="250" t="s">
        <v>454</v>
      </c>
      <c r="B6" s="103">
        <v>2.02404737E8</v>
      </c>
      <c r="C6" s="103" t="s">
        <v>455</v>
      </c>
      <c r="D6" s="251">
        <v>3.0</v>
      </c>
      <c r="E6" s="49"/>
      <c r="F6" s="252">
        <v>1.0</v>
      </c>
      <c r="G6" s="51">
        <v>0.984705981</v>
      </c>
      <c r="H6" s="51">
        <v>1.0</v>
      </c>
      <c r="I6" s="52">
        <v>2.25</v>
      </c>
      <c r="J6" s="53">
        <v>2.0</v>
      </c>
      <c r="K6" s="54">
        <v>4.5</v>
      </c>
      <c r="L6" s="55">
        <f>SUM('P105'!$I6:$K6)</f>
        <v>8.75</v>
      </c>
      <c r="M6" s="52">
        <v>3.0</v>
      </c>
      <c r="N6" s="53">
        <v>2.0</v>
      </c>
      <c r="O6" s="54">
        <v>5.0</v>
      </c>
      <c r="P6" s="55">
        <f>SUM('P105'!$M6:$O6)</f>
        <v>10</v>
      </c>
      <c r="Q6" s="52">
        <v>2.25</v>
      </c>
      <c r="R6" s="53">
        <v>1.75</v>
      </c>
      <c r="S6" s="54">
        <v>4.8</v>
      </c>
      <c r="T6" s="55">
        <f>SUM('P105'!$Q6:$S6)</f>
        <v>8.8</v>
      </c>
      <c r="U6" s="56">
        <f>('P105'!$L6+'P105'!$P6+'P105'!$T6)*'P105'!$F6</f>
        <v>27.55</v>
      </c>
      <c r="V6" s="57">
        <v>5.0</v>
      </c>
      <c r="W6" s="57">
        <v>5.3</v>
      </c>
      <c r="X6" s="58">
        <f>SUM('P105'!$V6:$W6)*'P105'!$G6</f>
        <v>10.1424716</v>
      </c>
      <c r="Y6" s="59">
        <v>0.0</v>
      </c>
      <c r="Z6" s="59">
        <v>0.0</v>
      </c>
      <c r="AA6" s="59">
        <v>3.75</v>
      </c>
      <c r="AB6" s="60" t="str">
        <f>IF(SUM('P105'!$Y6:$AA6)&gt;5.9,"SI","NO")</f>
        <v>NO</v>
      </c>
      <c r="AC6" s="61">
        <f>SUM('P105'!$Y6:$AA6)</f>
        <v>3.75</v>
      </c>
      <c r="AD6" s="62">
        <v>2.0</v>
      </c>
      <c r="AE6" s="62">
        <v>0.0</v>
      </c>
      <c r="AF6" s="63" t="str">
        <f>IF('P105'!$AG6&gt;5.9,"SI","NO")</f>
        <v>NO</v>
      </c>
      <c r="AG6" s="64">
        <f>SUM('P105'!$AD6:$AE6)</f>
        <v>2</v>
      </c>
      <c r="AH6" s="141">
        <f>IF('P105'!$AF6="NO",0," ")</f>
        <v>0</v>
      </c>
      <c r="AI6" s="141">
        <f>IF('P105'!$AF6="NO",0," ")</f>
        <v>0</v>
      </c>
      <c r="AJ6" s="66">
        <f>AVERAGE('P105'!$AH6:$AI6)</f>
        <v>0</v>
      </c>
      <c r="AK6" s="142">
        <v>0.0</v>
      </c>
      <c r="AL6" s="143">
        <v>0.0</v>
      </c>
      <c r="AM6" s="144">
        <v>0.0</v>
      </c>
      <c r="AN6" s="46">
        <f>(('P105'!$AL6+'P105'!$AM6))*'P105'!$AK6</f>
        <v>0</v>
      </c>
      <c r="AO6" s="70">
        <f t="shared" si="1"/>
        <v>10</v>
      </c>
      <c r="AP6" s="71">
        <f>SUM('P105'!$U6)</f>
        <v>27.55</v>
      </c>
      <c r="AQ6" s="71">
        <f>SUM(AN6,AJ6,AG6,AC6,X6,'P105'!$AO6)</f>
        <v>25.8924716</v>
      </c>
      <c r="AR6" s="247">
        <f>'P105'!$AP6+'P105'!$AQ6</f>
        <v>53.4424716</v>
      </c>
    </row>
    <row r="7" ht="14.25" customHeight="1">
      <c r="A7" s="250" t="s">
        <v>456</v>
      </c>
      <c r="B7" s="103">
        <v>2.02406864E8</v>
      </c>
      <c r="C7" s="103" t="s">
        <v>457</v>
      </c>
      <c r="D7" s="251">
        <v>2.0</v>
      </c>
      <c r="E7" s="49"/>
      <c r="F7" s="252">
        <v>1.01273937</v>
      </c>
      <c r="G7" s="51">
        <v>0.88273483</v>
      </c>
      <c r="H7" s="51">
        <v>1.010152545</v>
      </c>
      <c r="I7" s="52">
        <v>3.0</v>
      </c>
      <c r="J7" s="53">
        <v>1.75</v>
      </c>
      <c r="K7" s="54">
        <v>4.9</v>
      </c>
      <c r="L7" s="55">
        <f>SUM('P105'!$I7:$K7)</f>
        <v>9.65</v>
      </c>
      <c r="M7" s="52">
        <v>3.0</v>
      </c>
      <c r="N7" s="53">
        <v>2.0</v>
      </c>
      <c r="O7" s="54">
        <v>5.0</v>
      </c>
      <c r="P7" s="55">
        <f>SUM('P105'!$M7:$O7)</f>
        <v>10</v>
      </c>
      <c r="Q7" s="52">
        <v>1.5</v>
      </c>
      <c r="R7" s="53">
        <v>2.0</v>
      </c>
      <c r="S7" s="54">
        <v>0.0</v>
      </c>
      <c r="T7" s="55">
        <f>SUM('P105'!$Q7:$S7)</f>
        <v>3.5</v>
      </c>
      <c r="U7" s="56">
        <f>('P105'!$L7+'P105'!$P7+'P105'!$T7)*'P105'!$F7</f>
        <v>23.44491642</v>
      </c>
      <c r="V7" s="57">
        <v>5.0</v>
      </c>
      <c r="W7" s="57">
        <v>9.8</v>
      </c>
      <c r="X7" s="58">
        <f>SUM('P105'!$V7:$W7)*'P105'!$G7</f>
        <v>13.06447548</v>
      </c>
      <c r="Y7" s="59">
        <v>1.5</v>
      </c>
      <c r="Z7" s="59">
        <v>1.5</v>
      </c>
      <c r="AA7" s="59">
        <v>2.5</v>
      </c>
      <c r="AB7" s="60" t="str">
        <f>IF(SUM('P105'!$Y7:$AA7)&gt;5.9,"SI","NO")</f>
        <v>NO</v>
      </c>
      <c r="AC7" s="61">
        <f>SUM('P105'!$Y7:$AA7)</f>
        <v>5.5</v>
      </c>
      <c r="AD7" s="62">
        <v>1.0</v>
      </c>
      <c r="AE7" s="62">
        <v>5.0</v>
      </c>
      <c r="AF7" s="63" t="str">
        <f>IF('P105'!$AG7&gt;5.9,"SI","NO")</f>
        <v>SI</v>
      </c>
      <c r="AG7" s="64">
        <f>SUM('P105'!$AD7:$AE7)</f>
        <v>6</v>
      </c>
      <c r="AH7" s="65">
        <v>4.0</v>
      </c>
      <c r="AI7" s="65">
        <v>4.0</v>
      </c>
      <c r="AJ7" s="66">
        <f>AVERAGE('P105'!$AH7:$AI7)</f>
        <v>4</v>
      </c>
      <c r="AK7" s="142">
        <v>1.0</v>
      </c>
      <c r="AL7" s="143">
        <v>8.0</v>
      </c>
      <c r="AM7" s="144">
        <v>8.0</v>
      </c>
      <c r="AN7" s="46">
        <f>(('P105'!$AL7+'P105'!$AM7))*'P105'!$AK7</f>
        <v>16</v>
      </c>
      <c r="AO7" s="70">
        <f t="shared" si="1"/>
        <v>10.10152545</v>
      </c>
      <c r="AP7" s="71">
        <f>SUM('P105'!$U7)</f>
        <v>23.44491642</v>
      </c>
      <c r="AQ7" s="71">
        <f>SUM(AN7,AJ7,AG7,AC7,X7,'P105'!$AO7)</f>
        <v>54.66600093</v>
      </c>
      <c r="AR7" s="247">
        <f>'P105'!$AP7+'P105'!$AQ7</f>
        <v>78.11091735</v>
      </c>
    </row>
    <row r="8" ht="14.25" customHeight="1">
      <c r="A8" s="250" t="s">
        <v>458</v>
      </c>
      <c r="B8" s="103">
        <v>2.02300851E8</v>
      </c>
      <c r="C8" s="103" t="s">
        <v>459</v>
      </c>
      <c r="D8" s="251">
        <v>5.0</v>
      </c>
      <c r="E8" s="49"/>
      <c r="F8" s="252">
        <v>0.5</v>
      </c>
      <c r="G8" s="51">
        <v>0.5</v>
      </c>
      <c r="H8" s="51">
        <v>0.5</v>
      </c>
      <c r="I8" s="52">
        <v>3.0</v>
      </c>
      <c r="J8" s="53">
        <v>1.75</v>
      </c>
      <c r="K8" s="54">
        <v>0.0</v>
      </c>
      <c r="L8" s="55">
        <f>SUM('P105'!$I8:$K8)</f>
        <v>4.75</v>
      </c>
      <c r="M8" s="52">
        <v>0.0</v>
      </c>
      <c r="N8" s="53">
        <v>0.0</v>
      </c>
      <c r="O8" s="54">
        <v>0.0</v>
      </c>
      <c r="P8" s="55">
        <f>SUM('P105'!$M8:$O8)</f>
        <v>0</v>
      </c>
      <c r="Q8" s="52">
        <v>0.0</v>
      </c>
      <c r="R8" s="53">
        <v>0.0</v>
      </c>
      <c r="S8" s="54">
        <v>0.0</v>
      </c>
      <c r="T8" s="55">
        <f>SUM('P105'!$Q8:$S8)</f>
        <v>0</v>
      </c>
      <c r="U8" s="56">
        <f>('P105'!$L8+'P105'!$P8+'P105'!$T8)*'P105'!$F8</f>
        <v>2.375</v>
      </c>
      <c r="V8" s="57">
        <v>2.7</v>
      </c>
      <c r="W8" s="57">
        <v>3.8</v>
      </c>
      <c r="X8" s="58">
        <f>SUM('P105'!$V8:$W8)*'P105'!$G8</f>
        <v>3.25</v>
      </c>
      <c r="Y8" s="59">
        <v>0.0</v>
      </c>
      <c r="Z8" s="59">
        <v>0.0</v>
      </c>
      <c r="AA8" s="59">
        <v>0.0</v>
      </c>
      <c r="AB8" s="60" t="str">
        <f>IF(SUM('P105'!$Y8:$AA8)&gt;5.9,"SI","NO")</f>
        <v>NO</v>
      </c>
      <c r="AC8" s="61">
        <f>SUM('P105'!$Y8:$AA8)</f>
        <v>0</v>
      </c>
      <c r="AD8" s="62">
        <v>0.0</v>
      </c>
      <c r="AE8" s="62">
        <v>4.0</v>
      </c>
      <c r="AF8" s="63" t="str">
        <f>IF('P105'!$AG8&gt;5.9,"SI","NO")</f>
        <v>NO</v>
      </c>
      <c r="AG8" s="64">
        <f>SUM('P105'!$AD8:$AE8)</f>
        <v>4</v>
      </c>
      <c r="AH8" s="141">
        <f>IF('P105'!$AF8="NO",0," ")</f>
        <v>0</v>
      </c>
      <c r="AI8" s="141">
        <f>IF('P105'!$AF8="NO",0," ")</f>
        <v>0</v>
      </c>
      <c r="AJ8" s="66">
        <f>AVERAGE('P105'!$AH8:$AI8)</f>
        <v>0</v>
      </c>
      <c r="AK8" s="142">
        <v>0.0</v>
      </c>
      <c r="AL8" s="143">
        <v>0.0</v>
      </c>
      <c r="AM8" s="144">
        <v>0.0</v>
      </c>
      <c r="AN8" s="46">
        <f>(('P105'!$AL8+'P105'!$AM8))*'P105'!$AK8</f>
        <v>0</v>
      </c>
      <c r="AO8" s="70">
        <f t="shared" si="1"/>
        <v>5</v>
      </c>
      <c r="AP8" s="71">
        <f>SUM('P105'!$U8)</f>
        <v>2.375</v>
      </c>
      <c r="AQ8" s="71">
        <f>SUM(AN8,AJ8,AG8,AC8,X8,'P105'!$AO8)</f>
        <v>12.25</v>
      </c>
      <c r="AR8" s="247">
        <f>'P105'!$AP8+'P105'!$AQ8</f>
        <v>14.625</v>
      </c>
    </row>
    <row r="9" ht="14.25" customHeight="1">
      <c r="A9" s="250" t="s">
        <v>460</v>
      </c>
      <c r="B9" s="103">
        <v>2.02412177E8</v>
      </c>
      <c r="C9" s="103" t="s">
        <v>461</v>
      </c>
      <c r="D9" s="251">
        <v>1.0</v>
      </c>
      <c r="E9" s="49"/>
      <c r="F9" s="252">
        <v>0.99118926</v>
      </c>
      <c r="G9" s="51">
        <v>1.008438968</v>
      </c>
      <c r="H9" s="51">
        <v>1.001391789</v>
      </c>
      <c r="I9" s="52">
        <v>2.25</v>
      </c>
      <c r="J9" s="53">
        <v>2.0</v>
      </c>
      <c r="K9" s="54">
        <v>3.3</v>
      </c>
      <c r="L9" s="55">
        <f>SUM('P105'!$I9:$K9)</f>
        <v>7.55</v>
      </c>
      <c r="M9" s="52">
        <v>3.0</v>
      </c>
      <c r="N9" s="53">
        <v>2.0</v>
      </c>
      <c r="O9" s="54">
        <v>5.0</v>
      </c>
      <c r="P9" s="55">
        <f>SUM('P105'!$M9:$O9)</f>
        <v>10</v>
      </c>
      <c r="Q9" s="52">
        <v>2.25</v>
      </c>
      <c r="R9" s="53">
        <v>2.0</v>
      </c>
      <c r="S9" s="54">
        <v>4.95</v>
      </c>
      <c r="T9" s="55">
        <f>SUM('P105'!$Q9:$S9)</f>
        <v>9.2</v>
      </c>
      <c r="U9" s="56">
        <f>('P105'!$L9+'P105'!$P9+'P105'!$T9)*'P105'!$F9</f>
        <v>26.51431271</v>
      </c>
      <c r="V9" s="57">
        <v>4.3</v>
      </c>
      <c r="W9" s="57">
        <v>6.6</v>
      </c>
      <c r="X9" s="58">
        <f>SUM('P105'!$V9:$W9)*'P105'!$G9</f>
        <v>10.99198475</v>
      </c>
      <c r="Y9" s="59">
        <v>1.0</v>
      </c>
      <c r="Z9" s="59">
        <v>0.0</v>
      </c>
      <c r="AA9" s="59">
        <v>1.25</v>
      </c>
      <c r="AB9" s="60" t="str">
        <f>IF(SUM('P105'!$Y9:$AA9)&gt;5.9,"SI","NO")</f>
        <v>NO</v>
      </c>
      <c r="AC9" s="61">
        <f>SUM('P105'!$Y9:$AA9)</f>
        <v>2.25</v>
      </c>
      <c r="AD9" s="62">
        <v>0.0</v>
      </c>
      <c r="AE9" s="62">
        <v>0.0</v>
      </c>
      <c r="AF9" s="63" t="str">
        <f>IF('P105'!$AG9&gt;5.9,"SI","NO")</f>
        <v>NO</v>
      </c>
      <c r="AG9" s="64">
        <f>SUM('P105'!$AD9:$AE9)</f>
        <v>0</v>
      </c>
      <c r="AH9" s="141">
        <f>IF('P105'!$AF9="NO",0," ")</f>
        <v>0</v>
      </c>
      <c r="AI9" s="141">
        <f>IF('P105'!$AF9="NO",0," ")</f>
        <v>0</v>
      </c>
      <c r="AJ9" s="66">
        <f>AVERAGE('P105'!$AH9:$AI9)</f>
        <v>0</v>
      </c>
      <c r="AK9" s="142">
        <v>0.0</v>
      </c>
      <c r="AL9" s="143">
        <v>0.0</v>
      </c>
      <c r="AM9" s="144">
        <v>0.0</v>
      </c>
      <c r="AN9" s="46">
        <f>(('P105'!$AL9+'P105'!$AM9))*'P105'!$AK9</f>
        <v>0</v>
      </c>
      <c r="AO9" s="70">
        <f t="shared" si="1"/>
        <v>10.01391789</v>
      </c>
      <c r="AP9" s="71">
        <f>SUM('P105'!$U9)</f>
        <v>26.51431271</v>
      </c>
      <c r="AQ9" s="71">
        <f>SUM(AN9,AJ9,AG9,AC9,X9,'P105'!$AO9)</f>
        <v>23.25590264</v>
      </c>
      <c r="AR9" s="247">
        <f>'P105'!$AP9+'P105'!$AQ9</f>
        <v>49.77021535</v>
      </c>
    </row>
    <row r="10" ht="14.25" customHeight="1">
      <c r="A10" s="250" t="s">
        <v>462</v>
      </c>
      <c r="B10" s="103">
        <v>2.02511481E8</v>
      </c>
      <c r="C10" s="103" t="s">
        <v>463</v>
      </c>
      <c r="D10" s="251">
        <v>6.0</v>
      </c>
      <c r="E10" s="49"/>
      <c r="F10" s="252">
        <v>1.01003929</v>
      </c>
      <c r="G10" s="51">
        <v>0.947837392</v>
      </c>
      <c r="H10" s="51">
        <v>0.958520782</v>
      </c>
      <c r="I10" s="52">
        <v>2.25</v>
      </c>
      <c r="J10" s="53">
        <v>2.0</v>
      </c>
      <c r="K10" s="54">
        <v>4.6</v>
      </c>
      <c r="L10" s="55">
        <f>SUM('P105'!$I10:$K10)</f>
        <v>8.85</v>
      </c>
      <c r="M10" s="52">
        <v>3.0</v>
      </c>
      <c r="N10" s="53">
        <v>2.0</v>
      </c>
      <c r="O10" s="54">
        <v>5.0</v>
      </c>
      <c r="P10" s="55">
        <f>SUM('P105'!$M10:$O10)</f>
        <v>10</v>
      </c>
      <c r="Q10" s="52">
        <v>0.75</v>
      </c>
      <c r="R10" s="53">
        <v>1.25</v>
      </c>
      <c r="S10" s="54">
        <v>4.2</v>
      </c>
      <c r="T10" s="55">
        <f>SUM('P105'!$Q10:$S10)</f>
        <v>6.2</v>
      </c>
      <c r="U10" s="56">
        <f>('P105'!$L10+'P105'!$P10+'P105'!$T10)*'P105'!$F10</f>
        <v>25.30148421</v>
      </c>
      <c r="V10" s="57">
        <v>3.15</v>
      </c>
      <c r="W10" s="57">
        <v>9.1</v>
      </c>
      <c r="X10" s="58">
        <f>SUM('P105'!$V10:$W10)*'P105'!$G10</f>
        <v>11.61100805</v>
      </c>
      <c r="Y10" s="59">
        <v>1.0</v>
      </c>
      <c r="Z10" s="59">
        <v>0.0</v>
      </c>
      <c r="AA10" s="59">
        <v>0.0</v>
      </c>
      <c r="AB10" s="60" t="str">
        <f>IF(SUM('P105'!$Y10:$AA10)&gt;5.9,"SI","NO")</f>
        <v>NO</v>
      </c>
      <c r="AC10" s="61">
        <f>SUM('P105'!$Y10:$AA10)</f>
        <v>1</v>
      </c>
      <c r="AD10" s="62">
        <v>1.8</v>
      </c>
      <c r="AE10" s="62">
        <v>4.2</v>
      </c>
      <c r="AF10" s="63" t="str">
        <f>IF('P105'!$AG10&gt;5.9,"SI","NO")</f>
        <v>SI</v>
      </c>
      <c r="AG10" s="64">
        <f>SUM('P105'!$AD10:$AE10)</f>
        <v>6</v>
      </c>
      <c r="AH10" s="65">
        <v>2.5</v>
      </c>
      <c r="AI10" s="65">
        <v>2.0</v>
      </c>
      <c r="AJ10" s="66">
        <f>AVERAGE('P105'!$AH10:$AI10)</f>
        <v>2.25</v>
      </c>
      <c r="AK10" s="142">
        <v>1.0</v>
      </c>
      <c r="AL10" s="143">
        <v>0.0</v>
      </c>
      <c r="AM10" s="144">
        <v>0.0</v>
      </c>
      <c r="AN10" s="46">
        <f>(('P105'!$AL10+'P105'!$AM10))*'P105'!$AK10</f>
        <v>0</v>
      </c>
      <c r="AO10" s="70">
        <f t="shared" si="1"/>
        <v>9.58520782</v>
      </c>
      <c r="AP10" s="71">
        <f>SUM('P105'!$U10)</f>
        <v>25.30148421</v>
      </c>
      <c r="AQ10" s="71">
        <f>SUM(AN10,AJ10,AG10,AC10,X10,'P105'!$AO10)</f>
        <v>30.44621587</v>
      </c>
      <c r="AR10" s="247">
        <f>'P105'!$AP10+'P105'!$AQ10</f>
        <v>55.74770009</v>
      </c>
    </row>
    <row r="11" ht="14.25" customHeight="1">
      <c r="A11" s="250" t="s">
        <v>464</v>
      </c>
      <c r="B11" s="103">
        <v>2.0230081E8</v>
      </c>
      <c r="C11" s="103" t="s">
        <v>465</v>
      </c>
      <c r="D11" s="251">
        <v>5.0</v>
      </c>
      <c r="E11" s="49"/>
      <c r="F11" s="252">
        <v>1.10940039</v>
      </c>
      <c r="G11" s="51">
        <v>1.109400392</v>
      </c>
      <c r="H11" s="51">
        <v>1.0</v>
      </c>
      <c r="I11" s="52">
        <v>3.0</v>
      </c>
      <c r="J11" s="53">
        <v>1.75</v>
      </c>
      <c r="K11" s="54">
        <v>4.1</v>
      </c>
      <c r="L11" s="55">
        <f>SUM('P105'!$I11:$K11)</f>
        <v>8.85</v>
      </c>
      <c r="M11" s="52">
        <v>3.0</v>
      </c>
      <c r="N11" s="53">
        <v>2.0</v>
      </c>
      <c r="O11" s="54">
        <v>5.0</v>
      </c>
      <c r="P11" s="55">
        <f>SUM('P105'!$M11:$O11)</f>
        <v>10</v>
      </c>
      <c r="Q11" s="52">
        <v>3.0</v>
      </c>
      <c r="R11" s="53">
        <v>1.75</v>
      </c>
      <c r="S11" s="54">
        <v>5.0</v>
      </c>
      <c r="T11" s="55">
        <f>SUM('P105'!$Q11:$S11)</f>
        <v>9.75</v>
      </c>
      <c r="U11" s="56">
        <f>('P105'!$L11+'P105'!$P11+'P105'!$T11)*'P105'!$F11</f>
        <v>31.72885115</v>
      </c>
      <c r="V11" s="57">
        <v>2.7</v>
      </c>
      <c r="W11" s="57">
        <v>3.8</v>
      </c>
      <c r="X11" s="58">
        <f>SUM('P105'!$V11:$W11)*'P105'!$G11</f>
        <v>7.211102548</v>
      </c>
      <c r="Y11" s="59">
        <v>1.5</v>
      </c>
      <c r="Z11" s="59">
        <v>3.0</v>
      </c>
      <c r="AA11" s="59">
        <v>5.0</v>
      </c>
      <c r="AB11" s="60" t="str">
        <f>IF(SUM('P105'!$Y11:$AA11)&gt;5.9,"SI","NO")</f>
        <v>SI</v>
      </c>
      <c r="AC11" s="61">
        <f>SUM('P105'!$Y11:$AA11)</f>
        <v>9.5</v>
      </c>
      <c r="AD11" s="62">
        <v>0.0</v>
      </c>
      <c r="AE11" s="62">
        <v>4.0</v>
      </c>
      <c r="AF11" s="63" t="str">
        <f>IF('P105'!$AG11&gt;5.9,"SI","NO")</f>
        <v>NO</v>
      </c>
      <c r="AG11" s="64">
        <f>SUM('P105'!$AD11:$AE11)</f>
        <v>4</v>
      </c>
      <c r="AH11" s="141">
        <f>IF('P105'!$AF11="NO",0," ")</f>
        <v>0</v>
      </c>
      <c r="AI11" s="141">
        <f>IF('P105'!$AF11="NO",0," ")</f>
        <v>0</v>
      </c>
      <c r="AJ11" s="66">
        <f>AVERAGE('P105'!$AH11:$AI11)</f>
        <v>0</v>
      </c>
      <c r="AK11" s="142">
        <v>0.0</v>
      </c>
      <c r="AL11" s="143">
        <v>0.0</v>
      </c>
      <c r="AM11" s="144">
        <v>0.0</v>
      </c>
      <c r="AN11" s="46">
        <f>(('P105'!$AL11+'P105'!$AM11))*'P105'!$AK11</f>
        <v>0</v>
      </c>
      <c r="AO11" s="70">
        <f t="shared" si="1"/>
        <v>10</v>
      </c>
      <c r="AP11" s="71">
        <f>SUM('P105'!$U11)</f>
        <v>31.72885115</v>
      </c>
      <c r="AQ11" s="71">
        <f>SUM(AN11,AJ11,AG11,AC11,X11,'P105'!$AO11)</f>
        <v>30.71110255</v>
      </c>
      <c r="AR11" s="247">
        <f>'P105'!$AP11+'P105'!$AQ11</f>
        <v>62.4399537</v>
      </c>
    </row>
    <row r="12" ht="14.25" customHeight="1">
      <c r="A12" s="250" t="s">
        <v>466</v>
      </c>
      <c r="B12" s="103">
        <v>2.02311148E8</v>
      </c>
      <c r="C12" s="103" t="s">
        <v>467</v>
      </c>
      <c r="D12" s="251">
        <v>3.0</v>
      </c>
      <c r="E12" s="49"/>
      <c r="F12" s="252">
        <v>1.0</v>
      </c>
      <c r="G12" s="51">
        <v>1.005884876</v>
      </c>
      <c r="H12" s="51">
        <v>0.5</v>
      </c>
      <c r="I12" s="52">
        <v>3.0</v>
      </c>
      <c r="J12" s="53">
        <v>2.0</v>
      </c>
      <c r="K12" s="54">
        <v>4.5</v>
      </c>
      <c r="L12" s="55">
        <f>SUM('P105'!$I12:$K12)</f>
        <v>9.5</v>
      </c>
      <c r="M12" s="52">
        <v>3.0</v>
      </c>
      <c r="N12" s="53">
        <v>2.0</v>
      </c>
      <c r="O12" s="54">
        <v>5.0</v>
      </c>
      <c r="P12" s="55">
        <f>SUM('P105'!$M12:$O12)</f>
        <v>10</v>
      </c>
      <c r="Q12" s="52">
        <v>2.25</v>
      </c>
      <c r="R12" s="53">
        <v>1.75</v>
      </c>
      <c r="S12" s="54">
        <v>4.8</v>
      </c>
      <c r="T12" s="55">
        <f>SUM('P105'!$Q12:$S12)</f>
        <v>8.8</v>
      </c>
      <c r="U12" s="56">
        <f>('P105'!$L12+'P105'!$P12+'P105'!$T12)*'P105'!$F12</f>
        <v>28.3</v>
      </c>
      <c r="V12" s="57">
        <v>5.0</v>
      </c>
      <c r="W12" s="57">
        <v>5.3</v>
      </c>
      <c r="X12" s="58">
        <f>SUM('P105'!$V12:$W12)*'P105'!$G12</f>
        <v>10.36061422</v>
      </c>
      <c r="Y12" s="59">
        <v>2.0</v>
      </c>
      <c r="Z12" s="59">
        <v>1.5</v>
      </c>
      <c r="AA12" s="59">
        <v>1.25</v>
      </c>
      <c r="AB12" s="60" t="str">
        <f>IF(SUM('P105'!$Y12:$AA12)&gt;5.9,"SI","NO")</f>
        <v>NO</v>
      </c>
      <c r="AC12" s="61">
        <f>SUM('P105'!$Y12:$AA12)</f>
        <v>4.75</v>
      </c>
      <c r="AD12" s="62">
        <v>2.0</v>
      </c>
      <c r="AE12" s="62">
        <v>0.0</v>
      </c>
      <c r="AF12" s="63" t="str">
        <f>IF('P105'!$AG12&gt;5.9,"SI","NO")</f>
        <v>NO</v>
      </c>
      <c r="AG12" s="64">
        <f>SUM('P105'!$AD12:$AE12)</f>
        <v>2</v>
      </c>
      <c r="AH12" s="141">
        <f>IF('P105'!$AF12="NO",0," ")</f>
        <v>0</v>
      </c>
      <c r="AI12" s="141">
        <f>IF('P105'!$AF12="NO",0," ")</f>
        <v>0</v>
      </c>
      <c r="AJ12" s="66">
        <f>AVERAGE('P105'!$AH12:$AI12)</f>
        <v>0</v>
      </c>
      <c r="AK12" s="142">
        <v>0.0</v>
      </c>
      <c r="AL12" s="143">
        <v>0.0</v>
      </c>
      <c r="AM12" s="144">
        <v>0.0</v>
      </c>
      <c r="AN12" s="46">
        <f>(('P105'!$AL12+'P105'!$AM12))*'P105'!$AK12</f>
        <v>0</v>
      </c>
      <c r="AO12" s="70">
        <f t="shared" si="1"/>
        <v>5</v>
      </c>
      <c r="AP12" s="71">
        <f>SUM('P105'!$U12)</f>
        <v>28.3</v>
      </c>
      <c r="AQ12" s="71">
        <f>SUM(AN12,AJ12,AG12,AC12,X12,'P105'!$AO12)</f>
        <v>22.11061422</v>
      </c>
      <c r="AR12" s="247">
        <f>'P105'!$AP12+'P105'!$AQ12</f>
        <v>50.41061422</v>
      </c>
    </row>
    <row r="13" ht="14.25" customHeight="1">
      <c r="A13" s="250" t="s">
        <v>468</v>
      </c>
      <c r="B13" s="103">
        <v>2.02409397E8</v>
      </c>
      <c r="C13" s="103" t="s">
        <v>469</v>
      </c>
      <c r="D13" s="251">
        <v>7.0</v>
      </c>
      <c r="E13" s="49"/>
      <c r="F13" s="252">
        <v>1.0010015</v>
      </c>
      <c r="G13" s="51">
        <v>0.983876754</v>
      </c>
      <c r="H13" s="51">
        <v>1.001670845</v>
      </c>
      <c r="I13" s="52">
        <v>2.25</v>
      </c>
      <c r="J13" s="53">
        <v>2.0</v>
      </c>
      <c r="K13" s="54">
        <v>4.65</v>
      </c>
      <c r="L13" s="55">
        <f>SUM('P105'!$I13:$K13)</f>
        <v>8.9</v>
      </c>
      <c r="M13" s="52">
        <v>3.0</v>
      </c>
      <c r="N13" s="53">
        <v>2.0</v>
      </c>
      <c r="O13" s="54">
        <v>5.0</v>
      </c>
      <c r="P13" s="55">
        <f>SUM('P105'!$M13:$O13)</f>
        <v>10</v>
      </c>
      <c r="Q13" s="52">
        <v>1.5</v>
      </c>
      <c r="R13" s="53">
        <v>2.0</v>
      </c>
      <c r="S13" s="54">
        <v>4.1</v>
      </c>
      <c r="T13" s="55">
        <f>SUM('P105'!$Q13:$S13)</f>
        <v>7.6</v>
      </c>
      <c r="U13" s="56">
        <f>('P105'!$L13+'P105'!$P13+'P105'!$T13)*'P105'!$F13</f>
        <v>26.52653975</v>
      </c>
      <c r="V13" s="57">
        <v>2.7</v>
      </c>
      <c r="W13" s="57">
        <v>9.3</v>
      </c>
      <c r="X13" s="58">
        <f>SUM('P105'!$V13:$W13)*'P105'!$G13</f>
        <v>11.80652105</v>
      </c>
      <c r="Y13" s="59">
        <v>1.5</v>
      </c>
      <c r="Z13" s="59">
        <v>0.0</v>
      </c>
      <c r="AA13" s="59">
        <v>1.25</v>
      </c>
      <c r="AB13" s="60" t="str">
        <f>IF(SUM('P105'!$Y13:$AA13)&gt;5.9,"SI","NO")</f>
        <v>NO</v>
      </c>
      <c r="AC13" s="61">
        <f>SUM('P105'!$Y13:$AA13)</f>
        <v>2.75</v>
      </c>
      <c r="AD13" s="62">
        <v>1.0</v>
      </c>
      <c r="AE13" s="62">
        <v>4.5</v>
      </c>
      <c r="AF13" s="63" t="str">
        <f>IF('P105'!$AG13&gt;5.9,"SI","NO")</f>
        <v>NO</v>
      </c>
      <c r="AG13" s="64">
        <f>SUM('P105'!$AD13:$AE13)</f>
        <v>5.5</v>
      </c>
      <c r="AH13" s="253">
        <v>2.5</v>
      </c>
      <c r="AI13" s="65">
        <v>2.5</v>
      </c>
      <c r="AJ13" s="66">
        <f>AVERAGE('P105'!$AH13:$AI13)</f>
        <v>2.5</v>
      </c>
      <c r="AK13" s="142">
        <v>0.0</v>
      </c>
      <c r="AL13" s="143">
        <v>0.0</v>
      </c>
      <c r="AM13" s="144">
        <v>0.0</v>
      </c>
      <c r="AN13" s="46">
        <f>(('P105'!$AL13+'P105'!$AM13))*'P105'!$AK13</f>
        <v>0</v>
      </c>
      <c r="AO13" s="70">
        <f t="shared" si="1"/>
        <v>10.01670845</v>
      </c>
      <c r="AP13" s="71">
        <f>SUM('P105'!$U13)</f>
        <v>26.52653975</v>
      </c>
      <c r="AQ13" s="71">
        <f>SUM(AN13,AJ13,AG13,AC13,X13,'P105'!$AO13)</f>
        <v>32.5732295</v>
      </c>
      <c r="AR13" s="247">
        <f>'P105'!$AP13+'P105'!$AQ13</f>
        <v>59.09976925</v>
      </c>
    </row>
    <row r="14" ht="14.25" customHeight="1">
      <c r="A14" s="250" t="s">
        <v>470</v>
      </c>
      <c r="B14" s="103">
        <v>2.02318556E8</v>
      </c>
      <c r="C14" s="103" t="s">
        <v>471</v>
      </c>
      <c r="D14" s="251">
        <v>6.0</v>
      </c>
      <c r="E14" s="49"/>
      <c r="F14" s="252">
        <v>0.97041436</v>
      </c>
      <c r="G14" s="51">
        <v>0.947837392</v>
      </c>
      <c r="H14" s="51">
        <v>1.007707243</v>
      </c>
      <c r="I14" s="52">
        <v>3.0</v>
      </c>
      <c r="J14" s="53">
        <v>2.0</v>
      </c>
      <c r="K14" s="54">
        <v>4.6</v>
      </c>
      <c r="L14" s="55">
        <f>SUM('P105'!$I14:$K14)</f>
        <v>9.6</v>
      </c>
      <c r="M14" s="52">
        <v>3.0</v>
      </c>
      <c r="N14" s="53">
        <v>2.0</v>
      </c>
      <c r="O14" s="54">
        <v>5.0</v>
      </c>
      <c r="P14" s="55">
        <f>SUM('P105'!$M14:$O14)</f>
        <v>10</v>
      </c>
      <c r="Q14" s="52">
        <v>2.25</v>
      </c>
      <c r="R14" s="53">
        <v>1.25</v>
      </c>
      <c r="S14" s="54">
        <v>4.2</v>
      </c>
      <c r="T14" s="55">
        <f>SUM('P105'!$Q14:$S14)</f>
        <v>7.7</v>
      </c>
      <c r="U14" s="56">
        <f>('P105'!$L14+'P105'!$P14+'P105'!$T14)*'P105'!$F14</f>
        <v>26.49231203</v>
      </c>
      <c r="V14" s="57">
        <v>3.15</v>
      </c>
      <c r="W14" s="57">
        <v>9.1</v>
      </c>
      <c r="X14" s="58">
        <f>SUM('P105'!$V14:$W14)*'P105'!$G14</f>
        <v>11.61100805</v>
      </c>
      <c r="Y14" s="59">
        <v>1.0</v>
      </c>
      <c r="Z14" s="59">
        <v>0.5</v>
      </c>
      <c r="AA14" s="59">
        <v>2.5</v>
      </c>
      <c r="AB14" s="60" t="str">
        <f>IF(SUM('P105'!$Y14:$AA14)&gt;5.9,"SI","NO")</f>
        <v>NO</v>
      </c>
      <c r="AC14" s="61">
        <f>SUM('P105'!$Y14:$AA14)</f>
        <v>4</v>
      </c>
      <c r="AD14" s="62">
        <v>1.8</v>
      </c>
      <c r="AE14" s="62">
        <v>4.2</v>
      </c>
      <c r="AF14" s="63" t="str">
        <f>IF('P105'!$AG14&gt;5.9,"SI","NO")</f>
        <v>SI</v>
      </c>
      <c r="AG14" s="64">
        <f>SUM('P105'!$AD14:$AE14)</f>
        <v>6</v>
      </c>
      <c r="AH14" s="65">
        <v>2.5</v>
      </c>
      <c r="AI14" s="65">
        <v>2.0</v>
      </c>
      <c r="AJ14" s="66">
        <f>AVERAGE('P105'!$AH14:$AI14)</f>
        <v>2.25</v>
      </c>
      <c r="AK14" s="142">
        <v>1.0</v>
      </c>
      <c r="AL14" s="143">
        <v>0.0</v>
      </c>
      <c r="AM14" s="144">
        <v>0.0</v>
      </c>
      <c r="AN14" s="46">
        <f>(('P105'!$AL14+'P105'!$AM14))*'P105'!$AK14</f>
        <v>0</v>
      </c>
      <c r="AO14" s="70">
        <f t="shared" si="1"/>
        <v>10.07707243</v>
      </c>
      <c r="AP14" s="71">
        <f>SUM('P105'!$U14)</f>
        <v>26.49231203</v>
      </c>
      <c r="AQ14" s="71">
        <f>SUM(AN14,AJ14,AG14,AC14,X14,'P105'!$AO14)</f>
        <v>33.93808048</v>
      </c>
      <c r="AR14" s="247">
        <f>'P105'!$AP14+'P105'!$AQ14</f>
        <v>60.43039251</v>
      </c>
    </row>
    <row r="15" ht="14.25" customHeight="1">
      <c r="A15" s="250" t="s">
        <v>472</v>
      </c>
      <c r="B15" s="103">
        <v>2.02402053E8</v>
      </c>
      <c r="C15" s="103" t="s">
        <v>473</v>
      </c>
      <c r="D15" s="251">
        <v>8.0</v>
      </c>
      <c r="E15" s="49"/>
      <c r="F15" s="252">
        <v>0.5</v>
      </c>
      <c r="G15" s="51">
        <v>1.088214375</v>
      </c>
      <c r="H15" s="51">
        <v>0.908153218</v>
      </c>
      <c r="I15" s="52">
        <v>2.25</v>
      </c>
      <c r="J15" s="53">
        <v>2.0</v>
      </c>
      <c r="K15" s="54">
        <v>5.0</v>
      </c>
      <c r="L15" s="55">
        <f>SUM('P105'!$I15:$K15)</f>
        <v>9.25</v>
      </c>
      <c r="M15" s="52">
        <v>3.0</v>
      </c>
      <c r="N15" s="53">
        <v>2.0</v>
      </c>
      <c r="O15" s="54">
        <v>5.0</v>
      </c>
      <c r="P15" s="55">
        <f>SUM('P105'!$M15:$O15)</f>
        <v>10</v>
      </c>
      <c r="Q15" s="52">
        <v>1.5</v>
      </c>
      <c r="R15" s="53">
        <v>1.25</v>
      </c>
      <c r="S15" s="54">
        <v>4.7</v>
      </c>
      <c r="T15" s="55">
        <f>SUM('P105'!$Q15:$S15)</f>
        <v>7.45</v>
      </c>
      <c r="U15" s="56">
        <f>('P105'!$L15+'P105'!$P15+'P105'!$T15)*'P105'!$F15</f>
        <v>13.35</v>
      </c>
      <c r="V15" s="57">
        <v>2.9</v>
      </c>
      <c r="W15" s="57">
        <v>9.8</v>
      </c>
      <c r="X15" s="58">
        <f>SUM('P105'!$V15:$W15)*'P105'!$G15</f>
        <v>13.82032256</v>
      </c>
      <c r="Y15" s="59">
        <v>2.0</v>
      </c>
      <c r="Z15" s="59">
        <v>0.0</v>
      </c>
      <c r="AA15" s="59">
        <v>0.0</v>
      </c>
      <c r="AB15" s="60" t="str">
        <f>IF(SUM('P105'!$Y15:$AA15)&gt;5.9,"SI","NO")</f>
        <v>NO</v>
      </c>
      <c r="AC15" s="61">
        <f>SUM('P105'!$Y15:$AA15)</f>
        <v>2</v>
      </c>
      <c r="AD15" s="62">
        <v>1.8</v>
      </c>
      <c r="AE15" s="62">
        <v>5.2</v>
      </c>
      <c r="AF15" s="63" t="str">
        <f>IF('P105'!$AG15&gt;5.9,"SI","NO")</f>
        <v>SI</v>
      </c>
      <c r="AG15" s="64">
        <f>SUM('P105'!$AD15:$AE15)</f>
        <v>7</v>
      </c>
      <c r="AH15" s="65">
        <v>2.5</v>
      </c>
      <c r="AI15" s="65">
        <v>2.5</v>
      </c>
      <c r="AJ15" s="66">
        <f>AVERAGE('P105'!$AH15:$AI15)</f>
        <v>2.5</v>
      </c>
      <c r="AK15" s="142">
        <v>1.0</v>
      </c>
      <c r="AL15" s="143">
        <v>0.0</v>
      </c>
      <c r="AM15" s="144">
        <v>0.0</v>
      </c>
      <c r="AN15" s="46">
        <f>(('P105'!$AL15+'P105'!$AM15))*'P105'!$AK15</f>
        <v>0</v>
      </c>
      <c r="AO15" s="70">
        <f t="shared" si="1"/>
        <v>9.08153218</v>
      </c>
      <c r="AP15" s="71">
        <f>SUM('P105'!$U15)</f>
        <v>13.35</v>
      </c>
      <c r="AQ15" s="71">
        <f>SUM(AN15,AJ15,AG15,AC15,X15,'P105'!$AO15)</f>
        <v>34.40185474</v>
      </c>
      <c r="AR15" s="247">
        <f>'P105'!$AP15+'P105'!$AQ15</f>
        <v>47.75185474</v>
      </c>
    </row>
    <row r="16" ht="14.25" customHeight="1">
      <c r="A16" s="250" t="s">
        <v>474</v>
      </c>
      <c r="B16" s="103">
        <v>2.02401311E8</v>
      </c>
      <c r="C16" s="103" t="s">
        <v>475</v>
      </c>
      <c r="D16" s="251">
        <v>0.0</v>
      </c>
      <c r="E16" s="49"/>
      <c r="F16" s="252">
        <v>0.5</v>
      </c>
      <c r="G16" s="51">
        <v>0.5</v>
      </c>
      <c r="H16" s="51">
        <v>0.5</v>
      </c>
      <c r="I16" s="52">
        <v>0.0</v>
      </c>
      <c r="J16" s="53">
        <v>0.0</v>
      </c>
      <c r="K16" s="54">
        <v>0.0</v>
      </c>
      <c r="L16" s="55">
        <f>SUM('P105'!$I16:$K16)</f>
        <v>0</v>
      </c>
      <c r="M16" s="52">
        <v>0.0</v>
      </c>
      <c r="N16" s="53">
        <v>0.0</v>
      </c>
      <c r="O16" s="54">
        <v>0.0</v>
      </c>
      <c r="P16" s="55">
        <f>SUM('P105'!$M16:$O16)</f>
        <v>0</v>
      </c>
      <c r="Q16" s="52">
        <v>0.0</v>
      </c>
      <c r="R16" s="53">
        <v>0.0</v>
      </c>
      <c r="S16" s="54">
        <v>0.0</v>
      </c>
      <c r="T16" s="55">
        <f>SUM('P105'!$Q16:$S16)</f>
        <v>0</v>
      </c>
      <c r="U16" s="56">
        <f>('P105'!$L16+'P105'!$P16+'P105'!$T16)*'P105'!$F16</f>
        <v>0</v>
      </c>
      <c r="V16" s="57">
        <v>0.0</v>
      </c>
      <c r="W16" s="57">
        <v>0.0</v>
      </c>
      <c r="X16" s="58">
        <f>SUM('P105'!$V16:$W16)*'P105'!$G16</f>
        <v>0</v>
      </c>
      <c r="Y16" s="59">
        <v>0.0</v>
      </c>
      <c r="Z16" s="59">
        <v>0.0</v>
      </c>
      <c r="AA16" s="59">
        <v>0.0</v>
      </c>
      <c r="AB16" s="60" t="str">
        <f>IF(SUM('P105'!$Y16:$AA16)&gt;5.9,"SI","NO")</f>
        <v>NO</v>
      </c>
      <c r="AC16" s="61">
        <f>SUM('P105'!$Y16:$AA16)</f>
        <v>0</v>
      </c>
      <c r="AD16" s="62">
        <v>0.0</v>
      </c>
      <c r="AE16" s="62">
        <v>0.0</v>
      </c>
      <c r="AF16" s="63" t="str">
        <f>IF('P105'!$AG16&gt;5.9,"SI","NO")</f>
        <v>NO</v>
      </c>
      <c r="AG16" s="64">
        <f>SUM('P105'!$AD16:$AE16)</f>
        <v>0</v>
      </c>
      <c r="AH16" s="141">
        <f>IF('P105'!$AF16="NO",0," ")</f>
        <v>0</v>
      </c>
      <c r="AI16" s="141">
        <f>IF('P105'!$AF16="NO",0," ")</f>
        <v>0</v>
      </c>
      <c r="AJ16" s="66">
        <f>AVERAGE('P105'!$AH16:$AI16)</f>
        <v>0</v>
      </c>
      <c r="AK16" s="142">
        <v>0.0</v>
      </c>
      <c r="AL16" s="143">
        <v>0.0</v>
      </c>
      <c r="AM16" s="144">
        <v>0.0</v>
      </c>
      <c r="AN16" s="46">
        <f>(('P105'!$AL16+'P105'!$AM16))*'P105'!$AK16</f>
        <v>0</v>
      </c>
      <c r="AO16" s="70">
        <f t="shared" si="1"/>
        <v>5</v>
      </c>
      <c r="AP16" s="71">
        <f>SUM('P105'!$U16)</f>
        <v>0</v>
      </c>
      <c r="AQ16" s="71">
        <f>SUM(AN16,AJ16,AG16,AC16,X16,'P105'!$AO16)</f>
        <v>5</v>
      </c>
      <c r="AR16" s="247">
        <f>'P105'!$AP16+'P105'!$AQ16</f>
        <v>5</v>
      </c>
    </row>
    <row r="17" ht="14.25" customHeight="1">
      <c r="A17" s="250" t="s">
        <v>476</v>
      </c>
      <c r="B17" s="103">
        <v>2.02505517E8</v>
      </c>
      <c r="C17" s="103" t="s">
        <v>477</v>
      </c>
      <c r="D17" s="251">
        <v>3.0</v>
      </c>
      <c r="E17" s="49"/>
      <c r="F17" s="252">
        <v>1.0</v>
      </c>
      <c r="G17" s="51">
        <v>1.005884876</v>
      </c>
      <c r="H17" s="51">
        <v>1.0</v>
      </c>
      <c r="I17" s="52">
        <v>2.25</v>
      </c>
      <c r="J17" s="53">
        <v>2.0</v>
      </c>
      <c r="K17" s="54">
        <v>4.5</v>
      </c>
      <c r="L17" s="55">
        <f>SUM('P105'!$I17:$K17)</f>
        <v>8.75</v>
      </c>
      <c r="M17" s="52">
        <v>3.0</v>
      </c>
      <c r="N17" s="53">
        <v>2.0</v>
      </c>
      <c r="O17" s="54">
        <v>5.0</v>
      </c>
      <c r="P17" s="55">
        <f>SUM('P105'!$M17:$O17)</f>
        <v>10</v>
      </c>
      <c r="Q17" s="52">
        <v>0.75</v>
      </c>
      <c r="R17" s="53">
        <v>1.75</v>
      </c>
      <c r="S17" s="54">
        <v>0.0</v>
      </c>
      <c r="T17" s="55">
        <f>SUM('P105'!$Q17:$S17)</f>
        <v>2.5</v>
      </c>
      <c r="U17" s="56">
        <f>('P105'!$L17+'P105'!$P17+'P105'!$T17)*'P105'!$F17</f>
        <v>21.25</v>
      </c>
      <c r="V17" s="57">
        <v>5.0</v>
      </c>
      <c r="W17" s="57">
        <v>5.3</v>
      </c>
      <c r="X17" s="58">
        <f>SUM('P105'!$V17:$W17)*'P105'!$G17</f>
        <v>10.36061422</v>
      </c>
      <c r="Y17" s="59">
        <v>2.0</v>
      </c>
      <c r="Z17" s="59">
        <v>1.5</v>
      </c>
      <c r="AA17" s="59">
        <v>3.75</v>
      </c>
      <c r="AB17" s="60" t="str">
        <f>IF(SUM('P105'!$Y17:$AA17)&gt;5.9,"SI","NO")</f>
        <v>SI</v>
      </c>
      <c r="AC17" s="61">
        <f>SUM('P105'!$Y17:$AA17)</f>
        <v>7.25</v>
      </c>
      <c r="AD17" s="62">
        <v>2.0</v>
      </c>
      <c r="AE17" s="62">
        <v>0.0</v>
      </c>
      <c r="AF17" s="63" t="str">
        <f>IF('P105'!$AG17&gt;5.9,"SI","NO")</f>
        <v>NO</v>
      </c>
      <c r="AG17" s="64">
        <f>SUM('P105'!$AD17:$AE17)</f>
        <v>2</v>
      </c>
      <c r="AH17" s="141">
        <f>IF('P105'!$AF17="NO",0," ")</f>
        <v>0</v>
      </c>
      <c r="AI17" s="141">
        <f>IF('P105'!$AF17="NO",0," ")</f>
        <v>0</v>
      </c>
      <c r="AJ17" s="66">
        <f>AVERAGE('P105'!$AH17:$AI17)</f>
        <v>0</v>
      </c>
      <c r="AK17" s="142">
        <v>0.0</v>
      </c>
      <c r="AL17" s="143">
        <v>0.0</v>
      </c>
      <c r="AM17" s="144">
        <v>0.0</v>
      </c>
      <c r="AN17" s="46">
        <f>(('P105'!$AL17+'P105'!$AM17))*'P105'!$AK17</f>
        <v>0</v>
      </c>
      <c r="AO17" s="70">
        <f t="shared" si="1"/>
        <v>10</v>
      </c>
      <c r="AP17" s="71">
        <f>SUM('P105'!$U17)</f>
        <v>21.25</v>
      </c>
      <c r="AQ17" s="71">
        <f>SUM(AN17,AJ17,AG17,AC17,X17,'P105'!$AO17)</f>
        <v>29.61061422</v>
      </c>
      <c r="AR17" s="247">
        <f>'P105'!$AP17+'P105'!$AQ17</f>
        <v>50.86061422</v>
      </c>
    </row>
    <row r="18" ht="14.25" customHeight="1">
      <c r="A18" s="250" t="s">
        <v>478</v>
      </c>
      <c r="B18" s="103">
        <v>2.02509709E8</v>
      </c>
      <c r="C18" s="103" t="s">
        <v>479</v>
      </c>
      <c r="D18" s="251">
        <v>1.0</v>
      </c>
      <c r="E18" s="49"/>
      <c r="F18" s="252">
        <v>0.99118926</v>
      </c>
      <c r="G18" s="51">
        <v>0.980026519</v>
      </c>
      <c r="H18" s="51">
        <v>0.995812961</v>
      </c>
      <c r="I18" s="52">
        <v>2.25</v>
      </c>
      <c r="J18" s="53">
        <v>2.0</v>
      </c>
      <c r="K18" s="54">
        <v>3.3</v>
      </c>
      <c r="L18" s="55">
        <f>SUM('P105'!$I18:$K18)</f>
        <v>7.55</v>
      </c>
      <c r="M18" s="52">
        <v>0.0</v>
      </c>
      <c r="N18" s="53">
        <v>0.0</v>
      </c>
      <c r="O18" s="54">
        <v>0.0</v>
      </c>
      <c r="P18" s="55">
        <f>SUM('P105'!$M18:$O18)</f>
        <v>0</v>
      </c>
      <c r="Q18" s="52">
        <v>0.75</v>
      </c>
      <c r="R18" s="53">
        <v>0.0</v>
      </c>
      <c r="S18" s="54">
        <v>0.0</v>
      </c>
      <c r="T18" s="55">
        <f>SUM('P105'!$Q18:$S18)</f>
        <v>0.75</v>
      </c>
      <c r="U18" s="56">
        <f>('P105'!$L18+'P105'!$P18+'P105'!$T18)*'P105'!$F18</f>
        <v>8.226870858</v>
      </c>
      <c r="V18" s="57">
        <v>4.3</v>
      </c>
      <c r="W18" s="57">
        <v>6.6</v>
      </c>
      <c r="X18" s="58">
        <f>SUM('P105'!$V18:$W18)*'P105'!$G18</f>
        <v>10.68228906</v>
      </c>
      <c r="Y18" s="59">
        <v>0.0</v>
      </c>
      <c r="Z18" s="59">
        <v>0.0</v>
      </c>
      <c r="AA18" s="59">
        <v>0.0</v>
      </c>
      <c r="AB18" s="60" t="str">
        <f>IF(SUM('P105'!$Y18:$AA18)&gt;5.9,"SI","NO")</f>
        <v>NO</v>
      </c>
      <c r="AC18" s="61">
        <f>SUM('P105'!$Y18:$AA18)</f>
        <v>0</v>
      </c>
      <c r="AD18" s="62">
        <v>0.0</v>
      </c>
      <c r="AE18" s="62">
        <v>0.0</v>
      </c>
      <c r="AF18" s="63" t="str">
        <f>IF('P105'!$AG18&gt;5.9,"SI","NO")</f>
        <v>NO</v>
      </c>
      <c r="AG18" s="64">
        <f>SUM('P105'!$AD18:$AE18)</f>
        <v>0</v>
      </c>
      <c r="AH18" s="141">
        <f>IF('P105'!$AF18="NO",0," ")</f>
        <v>0</v>
      </c>
      <c r="AI18" s="141">
        <f>IF('P105'!$AF18="NO",0," ")</f>
        <v>0</v>
      </c>
      <c r="AJ18" s="66">
        <f>AVERAGE('P105'!$AH18:$AI18)</f>
        <v>0</v>
      </c>
      <c r="AK18" s="142">
        <v>0.0</v>
      </c>
      <c r="AL18" s="143">
        <v>0.0</v>
      </c>
      <c r="AM18" s="144">
        <v>0.0</v>
      </c>
      <c r="AN18" s="46">
        <f>(('P105'!$AL18+'P105'!$AM18))*'P105'!$AK18</f>
        <v>0</v>
      </c>
      <c r="AO18" s="70">
        <f t="shared" si="1"/>
        <v>9.95812961</v>
      </c>
      <c r="AP18" s="71">
        <f>SUM('P105'!$U18)</f>
        <v>8.226870858</v>
      </c>
      <c r="AQ18" s="71">
        <f>SUM(AN18,AJ18,AG18,AC18,X18,'P105'!$AO18)</f>
        <v>20.64041867</v>
      </c>
      <c r="AR18" s="247">
        <f>'P105'!$AP18+'P105'!$AQ18</f>
        <v>28.86728953</v>
      </c>
    </row>
    <row r="19" ht="14.25" customHeight="1">
      <c r="A19" s="250" t="s">
        <v>480</v>
      </c>
      <c r="B19" s="103">
        <v>2.02407912E8</v>
      </c>
      <c r="C19" s="103" t="s">
        <v>481</v>
      </c>
      <c r="D19" s="251">
        <v>3.0</v>
      </c>
      <c r="E19" s="49"/>
      <c r="F19" s="252">
        <v>1.0</v>
      </c>
      <c r="G19" s="51">
        <v>0.997467282</v>
      </c>
      <c r="H19" s="51">
        <v>1.0</v>
      </c>
      <c r="I19" s="52">
        <v>2.25</v>
      </c>
      <c r="J19" s="53">
        <v>2.0</v>
      </c>
      <c r="K19" s="54">
        <v>4.5</v>
      </c>
      <c r="L19" s="55">
        <f>SUM('P105'!$I19:$K19)</f>
        <v>8.75</v>
      </c>
      <c r="M19" s="52">
        <v>3.0</v>
      </c>
      <c r="N19" s="53">
        <v>2.0</v>
      </c>
      <c r="O19" s="54">
        <v>5.0</v>
      </c>
      <c r="P19" s="55">
        <f>SUM('P105'!$M19:$O19)</f>
        <v>10</v>
      </c>
      <c r="Q19" s="52">
        <v>1.5</v>
      </c>
      <c r="R19" s="53">
        <v>1.75</v>
      </c>
      <c r="S19" s="54">
        <v>0.0</v>
      </c>
      <c r="T19" s="55">
        <f>SUM('P105'!$Q19:$S19)</f>
        <v>3.25</v>
      </c>
      <c r="U19" s="56">
        <f>('P105'!$L19+'P105'!$P19+'P105'!$T19)*'P105'!$F19</f>
        <v>22</v>
      </c>
      <c r="V19" s="57">
        <v>5.0</v>
      </c>
      <c r="W19" s="57">
        <v>5.3</v>
      </c>
      <c r="X19" s="58">
        <f>SUM('P105'!$V19:$W19)*'P105'!$G19</f>
        <v>10.273913</v>
      </c>
      <c r="Y19" s="59">
        <v>2.0</v>
      </c>
      <c r="Z19" s="59">
        <v>0.0</v>
      </c>
      <c r="AA19" s="59">
        <v>5.0</v>
      </c>
      <c r="AB19" s="60" t="str">
        <f>IF(SUM('P105'!$Y19:$AA19)&gt;5.9,"SI","NO")</f>
        <v>SI</v>
      </c>
      <c r="AC19" s="61">
        <f>SUM('P105'!$Y19:$AA19)</f>
        <v>7</v>
      </c>
      <c r="AD19" s="62">
        <v>2.0</v>
      </c>
      <c r="AE19" s="62">
        <v>0.0</v>
      </c>
      <c r="AF19" s="63" t="str">
        <f>IF('P105'!$AG19&gt;5.9,"SI","NO")</f>
        <v>NO</v>
      </c>
      <c r="AG19" s="64">
        <f>SUM('P105'!$AD19:$AE19)</f>
        <v>2</v>
      </c>
      <c r="AH19" s="141">
        <f>IF('P105'!$AF19="NO",0," ")</f>
        <v>0</v>
      </c>
      <c r="AI19" s="141">
        <f>IF('P105'!$AF19="NO",0," ")</f>
        <v>0</v>
      </c>
      <c r="AJ19" s="66">
        <f>AVERAGE('P105'!$AH19:$AI19)</f>
        <v>0</v>
      </c>
      <c r="AK19" s="142">
        <v>0.0</v>
      </c>
      <c r="AL19" s="143">
        <v>0.0</v>
      </c>
      <c r="AM19" s="144">
        <v>0.0</v>
      </c>
      <c r="AN19" s="46">
        <f>(('P105'!$AL19+'P105'!$AM19))*'P105'!$AK19</f>
        <v>0</v>
      </c>
      <c r="AO19" s="70">
        <f t="shared" si="1"/>
        <v>10</v>
      </c>
      <c r="AP19" s="71">
        <f>SUM('P105'!$U19)</f>
        <v>22</v>
      </c>
      <c r="AQ19" s="71">
        <f>SUM(AN19,AJ19,AG19,AC19,X19,'P105'!$AO19)</f>
        <v>29.273913</v>
      </c>
      <c r="AR19" s="247">
        <f>'P105'!$AP19+'P105'!$AQ19</f>
        <v>51.273913</v>
      </c>
    </row>
    <row r="20" ht="14.25" customHeight="1">
      <c r="A20" s="250" t="s">
        <v>482</v>
      </c>
      <c r="B20" s="103">
        <v>2.02400917E8</v>
      </c>
      <c r="C20" s="103" t="s">
        <v>483</v>
      </c>
      <c r="D20" s="251">
        <v>8.0</v>
      </c>
      <c r="E20" s="49"/>
      <c r="F20" s="252">
        <v>1.0</v>
      </c>
      <c r="G20" s="51">
        <v>0.668856054</v>
      </c>
      <c r="H20" s="51">
        <v>1.035453982</v>
      </c>
      <c r="I20" s="52">
        <v>2.25</v>
      </c>
      <c r="J20" s="53">
        <v>2.0</v>
      </c>
      <c r="K20" s="54">
        <v>5.0</v>
      </c>
      <c r="L20" s="55">
        <f>SUM('P105'!$I20:$K20)</f>
        <v>9.25</v>
      </c>
      <c r="M20" s="52">
        <v>3.0</v>
      </c>
      <c r="N20" s="53">
        <v>2.0</v>
      </c>
      <c r="O20" s="54">
        <v>5.0</v>
      </c>
      <c r="P20" s="55">
        <f>SUM('P105'!$M20:$O20)</f>
        <v>10</v>
      </c>
      <c r="Q20" s="52">
        <v>2.25</v>
      </c>
      <c r="R20" s="53">
        <v>1.25</v>
      </c>
      <c r="S20" s="54">
        <v>4.7</v>
      </c>
      <c r="T20" s="55">
        <f>SUM('P105'!$Q20:$S20)</f>
        <v>8.2</v>
      </c>
      <c r="U20" s="56">
        <f>('P105'!$L20+'P105'!$P20+'P105'!$T20)*'P105'!$F20</f>
        <v>27.45</v>
      </c>
      <c r="V20" s="57">
        <v>2.9</v>
      </c>
      <c r="W20" s="57">
        <v>9.8</v>
      </c>
      <c r="X20" s="58">
        <f>SUM('P105'!$V20:$W20)*'P105'!$G20</f>
        <v>8.494471886</v>
      </c>
      <c r="Y20" s="59">
        <v>2.0</v>
      </c>
      <c r="Z20" s="59">
        <v>1.5</v>
      </c>
      <c r="AA20" s="59">
        <v>2.5</v>
      </c>
      <c r="AB20" s="60" t="str">
        <f>IF(SUM('P105'!$Y20:$AA20)&gt;5.9,"SI","NO")</f>
        <v>SI</v>
      </c>
      <c r="AC20" s="61">
        <f>SUM('P105'!$Y20:$AA20)</f>
        <v>6</v>
      </c>
      <c r="AD20" s="62">
        <v>1.8</v>
      </c>
      <c r="AE20" s="62">
        <v>5.2</v>
      </c>
      <c r="AF20" s="63" t="str">
        <f>IF('P105'!$AG20&gt;5.9,"SI","NO")</f>
        <v>SI</v>
      </c>
      <c r="AG20" s="64">
        <f>SUM('P105'!$AD20:$AE20)</f>
        <v>7</v>
      </c>
      <c r="AH20" s="65">
        <v>2.5</v>
      </c>
      <c r="AI20" s="65">
        <v>2.5</v>
      </c>
      <c r="AJ20" s="66">
        <f>AVERAGE('P105'!$AH20:$AI20)</f>
        <v>2.5</v>
      </c>
      <c r="AK20" s="142">
        <v>1.0</v>
      </c>
      <c r="AL20" s="143">
        <v>0.0</v>
      </c>
      <c r="AM20" s="144">
        <v>0.0</v>
      </c>
      <c r="AN20" s="46">
        <f>(('P105'!$AL20+'P105'!$AM20))*'P105'!$AK20</f>
        <v>0</v>
      </c>
      <c r="AO20" s="70">
        <f t="shared" si="1"/>
        <v>10.35453982</v>
      </c>
      <c r="AP20" s="71">
        <f>SUM('P105'!$U20)</f>
        <v>27.45</v>
      </c>
      <c r="AQ20" s="71">
        <f>SUM(AN20,AJ20,AG20,AC20,X20,'P105'!$AO20)</f>
        <v>34.34901171</v>
      </c>
      <c r="AR20" s="247">
        <f>'P105'!$AP20+'P105'!$AQ20</f>
        <v>61.79901171</v>
      </c>
    </row>
    <row r="21" ht="14.25" customHeight="1">
      <c r="A21" s="250" t="s">
        <v>484</v>
      </c>
      <c r="B21" s="103">
        <v>2.02506952E8</v>
      </c>
      <c r="C21" s="103" t="s">
        <v>485</v>
      </c>
      <c r="D21" s="251">
        <v>9.0</v>
      </c>
      <c r="E21" s="49"/>
      <c r="F21" s="252">
        <v>1.00402416</v>
      </c>
      <c r="G21" s="51">
        <v>1.004454365</v>
      </c>
      <c r="H21" s="51">
        <v>1.004264412</v>
      </c>
      <c r="I21" s="52">
        <v>3.0</v>
      </c>
      <c r="J21" s="53">
        <v>2.0</v>
      </c>
      <c r="K21" s="54">
        <v>5.0</v>
      </c>
      <c r="L21" s="55">
        <f>SUM('P105'!$I21:$K21)</f>
        <v>10</v>
      </c>
      <c r="M21" s="59">
        <v>3.0</v>
      </c>
      <c r="N21" s="53">
        <v>2.0</v>
      </c>
      <c r="O21" s="54">
        <v>5.0</v>
      </c>
      <c r="P21" s="55">
        <f>SUM('P105'!$M21:$O21)</f>
        <v>10</v>
      </c>
      <c r="Q21" s="52">
        <v>1.5</v>
      </c>
      <c r="R21" s="53">
        <v>2.0</v>
      </c>
      <c r="S21" s="54">
        <v>4.2</v>
      </c>
      <c r="T21" s="55">
        <f>SUM('P105'!$Q21:$S21)</f>
        <v>7.7</v>
      </c>
      <c r="U21" s="56">
        <f>('P105'!$L21+'P105'!$P21+'P105'!$T21)*'P105'!$F21</f>
        <v>27.81146923</v>
      </c>
      <c r="V21" s="57">
        <v>3.0</v>
      </c>
      <c r="W21" s="57">
        <v>8.3</v>
      </c>
      <c r="X21" s="58">
        <f>SUM('P105'!$V21:$W21)*'P105'!$G21</f>
        <v>11.35033432</v>
      </c>
      <c r="Y21" s="80">
        <v>2.0</v>
      </c>
      <c r="Z21" s="59">
        <v>0.0</v>
      </c>
      <c r="AA21" s="59">
        <v>1.25</v>
      </c>
      <c r="AB21" s="60" t="str">
        <f>IF(SUM('P105'!$Y21:$AA21)&gt;5.9,"SI","NO")</f>
        <v>NO</v>
      </c>
      <c r="AC21" s="61">
        <f>SUM('P105'!$Y21:$AA21)</f>
        <v>3.25</v>
      </c>
      <c r="AD21" s="62">
        <v>1.0</v>
      </c>
      <c r="AE21" s="62">
        <v>4.0</v>
      </c>
      <c r="AF21" s="63" t="str">
        <f>IF('P105'!$AG21&gt;5.9,"SI","NO")</f>
        <v>NO</v>
      </c>
      <c r="AG21" s="64">
        <f>SUM('P105'!$AD21:$AE21)</f>
        <v>5</v>
      </c>
      <c r="AH21" s="65">
        <v>2.5</v>
      </c>
      <c r="AI21" s="65">
        <v>2.5</v>
      </c>
      <c r="AJ21" s="66">
        <f>AVERAGE('P105'!$AH21:$AI21)</f>
        <v>2.5</v>
      </c>
      <c r="AK21" s="142">
        <v>0.0</v>
      </c>
      <c r="AL21" s="143">
        <v>0.0</v>
      </c>
      <c r="AM21" s="144">
        <v>0.0</v>
      </c>
      <c r="AN21" s="46">
        <f>(('P105'!$AL21+'P105'!$AM21))*'P105'!$AK21</f>
        <v>0</v>
      </c>
      <c r="AO21" s="70">
        <f t="shared" si="1"/>
        <v>10.04264412</v>
      </c>
      <c r="AP21" s="71">
        <f>SUM('P105'!$U21)</f>
        <v>27.81146923</v>
      </c>
      <c r="AQ21" s="71">
        <f>SUM(AN21,AJ21,AG21,AC21,X21,'P105'!$AO21)</f>
        <v>32.14297844</v>
      </c>
      <c r="AR21" s="247">
        <f>'P105'!$AP21+'P105'!$AQ21</f>
        <v>59.95444768</v>
      </c>
    </row>
    <row r="22" ht="14.25" customHeight="1">
      <c r="A22" s="254" t="s">
        <v>486</v>
      </c>
      <c r="B22" s="255">
        <v>2.02408829E8</v>
      </c>
      <c r="C22" s="255" t="s">
        <v>487</v>
      </c>
      <c r="D22" s="256">
        <v>0.0</v>
      </c>
      <c r="E22" s="257"/>
      <c r="F22" s="258">
        <v>0.5</v>
      </c>
      <c r="G22" s="259">
        <v>0.5</v>
      </c>
      <c r="H22" s="259">
        <v>0.5</v>
      </c>
      <c r="I22" s="260">
        <v>3.0</v>
      </c>
      <c r="J22" s="260">
        <v>2.0</v>
      </c>
      <c r="K22" s="260">
        <v>0.0</v>
      </c>
      <c r="L22" s="261">
        <f>SUM('P105'!$I22:$K22)</f>
        <v>5</v>
      </c>
      <c r="M22" s="260">
        <v>0.0</v>
      </c>
      <c r="N22" s="260">
        <v>0.0</v>
      </c>
      <c r="O22" s="260">
        <v>0.0</v>
      </c>
      <c r="P22" s="261">
        <f>SUM('P105'!$M22:$O22)</f>
        <v>0</v>
      </c>
      <c r="Q22" s="260">
        <v>0.0</v>
      </c>
      <c r="R22" s="260">
        <v>0.0</v>
      </c>
      <c r="S22" s="260">
        <v>0.0</v>
      </c>
      <c r="T22" s="261">
        <f>SUM('P105'!$Q22:$S22)</f>
        <v>0</v>
      </c>
      <c r="U22" s="262">
        <f>('P105'!$L22+'P105'!$P22+'P105'!$T22)*'P105'!$F22</f>
        <v>2.5</v>
      </c>
      <c r="V22" s="263">
        <v>3.05</v>
      </c>
      <c r="W22" s="263">
        <v>0.0</v>
      </c>
      <c r="X22" s="262">
        <f>SUM('P105'!$V22:$W22)*'P105'!$G22</f>
        <v>1.525</v>
      </c>
      <c r="Y22" s="260">
        <v>2.0</v>
      </c>
      <c r="Z22" s="260">
        <v>0.0</v>
      </c>
      <c r="AA22" s="260">
        <v>0.0</v>
      </c>
      <c r="AB22" s="264" t="str">
        <f>IF(SUM('P105'!$Y22:$AA22)&gt;5.9,"SI","NO")</f>
        <v>NO</v>
      </c>
      <c r="AC22" s="262">
        <f>SUM('P105'!$Y22:$AA22)</f>
        <v>2</v>
      </c>
      <c r="AD22" s="263">
        <v>1.0</v>
      </c>
      <c r="AE22" s="263">
        <v>0.0</v>
      </c>
      <c r="AF22" s="265" t="str">
        <f>IF('P105'!$AG22&gt;5.9,"SI","NO")</f>
        <v>NO</v>
      </c>
      <c r="AG22" s="262">
        <f>SUM('P105'!$AD22:$AE22)</f>
        <v>1</v>
      </c>
      <c r="AH22" s="265">
        <f>IF('P105'!$AF22="NO",0," ")</f>
        <v>0</v>
      </c>
      <c r="AI22" s="265">
        <f>IF('P105'!$AF22="NO",0," ")</f>
        <v>0</v>
      </c>
      <c r="AJ22" s="262">
        <f>AVERAGE('P105'!$AH22:$AI22)</f>
        <v>0</v>
      </c>
      <c r="AK22" s="256">
        <v>0.0</v>
      </c>
      <c r="AL22" s="256">
        <v>0.0</v>
      </c>
      <c r="AM22" s="256">
        <v>0.0</v>
      </c>
      <c r="AN22" s="46">
        <f>(('P105'!$AL22+'P105'!$AM22))*'P105'!$AK22</f>
        <v>0</v>
      </c>
      <c r="AO22" s="70">
        <f t="shared" si="1"/>
        <v>5</v>
      </c>
      <c r="AP22" s="266">
        <f>SUM('P105'!$U22)</f>
        <v>2.5</v>
      </c>
      <c r="AQ22" s="266">
        <f>SUM(AN22,AJ22,AG22,AC22,X22,'P105'!$AO22)</f>
        <v>9.525</v>
      </c>
      <c r="AR22" s="266">
        <f>'P105'!$AP22+'P105'!$AQ22</f>
        <v>12.025</v>
      </c>
    </row>
    <row r="23" ht="14.25" customHeight="1">
      <c r="A23" s="250" t="s">
        <v>488</v>
      </c>
      <c r="B23" s="103">
        <v>2.02510236E8</v>
      </c>
      <c r="C23" s="103" t="s">
        <v>489</v>
      </c>
      <c r="D23" s="251">
        <v>6.0</v>
      </c>
      <c r="E23" s="49"/>
      <c r="F23" s="252">
        <v>0.91082183</v>
      </c>
      <c r="G23" s="51">
        <v>0.893629663</v>
      </c>
      <c r="H23" s="51">
        <v>0.948377419</v>
      </c>
      <c r="I23" s="52">
        <v>2.25</v>
      </c>
      <c r="J23" s="53">
        <v>2.0</v>
      </c>
      <c r="K23" s="54">
        <v>4.6</v>
      </c>
      <c r="L23" s="55">
        <f>SUM('P105'!$I23:$K23)</f>
        <v>8.85</v>
      </c>
      <c r="M23" s="52">
        <v>3.0</v>
      </c>
      <c r="N23" s="53">
        <v>2.0</v>
      </c>
      <c r="O23" s="54">
        <v>5.0</v>
      </c>
      <c r="P23" s="55">
        <f>SUM('P105'!$M23:$O23)</f>
        <v>10</v>
      </c>
      <c r="Q23" s="52">
        <v>1.5</v>
      </c>
      <c r="R23" s="53">
        <v>1.25</v>
      </c>
      <c r="S23" s="54">
        <v>4.2</v>
      </c>
      <c r="T23" s="55">
        <f>SUM('P105'!$Q23:$S23)</f>
        <v>6.95</v>
      </c>
      <c r="U23" s="56">
        <f>('P105'!$L23+'P105'!$P23+'P105'!$T23)*'P105'!$F23</f>
        <v>23.49920321</v>
      </c>
      <c r="V23" s="57">
        <v>3.15</v>
      </c>
      <c r="W23" s="57">
        <v>9.1</v>
      </c>
      <c r="X23" s="58">
        <f>SUM('P105'!$V23:$W23)*'P105'!$G23</f>
        <v>10.94696337</v>
      </c>
      <c r="Y23" s="59">
        <v>1.0</v>
      </c>
      <c r="Z23" s="59">
        <v>1.5</v>
      </c>
      <c r="AA23" s="59">
        <v>3.5</v>
      </c>
      <c r="AB23" s="60" t="str">
        <f>IF(SUM('P105'!$Y23:$AA23)&gt;5.9,"SI","NO")</f>
        <v>SI</v>
      </c>
      <c r="AC23" s="61">
        <f>SUM('P105'!$Y23:$AA23)</f>
        <v>6</v>
      </c>
      <c r="AD23" s="62">
        <v>1.8</v>
      </c>
      <c r="AE23" s="62">
        <v>4.2</v>
      </c>
      <c r="AF23" s="63" t="str">
        <f>IF('P105'!$AG23&gt;5.9,"SI","NO")</f>
        <v>SI</v>
      </c>
      <c r="AG23" s="64">
        <f>SUM('P105'!$AD23:$AE23)</f>
        <v>6</v>
      </c>
      <c r="AH23" s="65">
        <v>2.5</v>
      </c>
      <c r="AI23" s="65">
        <v>2.0</v>
      </c>
      <c r="AJ23" s="66">
        <f>AVERAGE('P105'!$AH23:$AI23)</f>
        <v>2.25</v>
      </c>
      <c r="AK23" s="142">
        <v>1.0</v>
      </c>
      <c r="AL23" s="143">
        <v>6.0</v>
      </c>
      <c r="AM23" s="144">
        <v>3.5</v>
      </c>
      <c r="AN23" s="46">
        <f>(('P105'!$AL23+'P105'!$AM23))*'P105'!$AK23</f>
        <v>9.5</v>
      </c>
      <c r="AO23" s="70">
        <f t="shared" si="1"/>
        <v>9.48377419</v>
      </c>
      <c r="AP23" s="71">
        <f>SUM('P105'!$U23)</f>
        <v>23.49920321</v>
      </c>
      <c r="AQ23" s="71">
        <f>SUM(AN23,AJ23,AG23,AC23,X23,'P105'!$AO23)</f>
        <v>44.18073756</v>
      </c>
      <c r="AR23" s="247">
        <f>'P105'!$AP23+'P105'!$AQ23</f>
        <v>67.67994078</v>
      </c>
    </row>
    <row r="24" ht="14.25" customHeight="1">
      <c r="A24" s="250" t="s">
        <v>490</v>
      </c>
      <c r="B24" s="103">
        <v>2.0240669E8</v>
      </c>
      <c r="C24" s="103" t="s">
        <v>491</v>
      </c>
      <c r="D24" s="251">
        <v>10.0</v>
      </c>
      <c r="E24" s="49"/>
      <c r="F24" s="252">
        <v>0.9860133</v>
      </c>
      <c r="G24" s="51">
        <v>1.013187383</v>
      </c>
      <c r="H24" s="51">
        <v>1.027353966</v>
      </c>
      <c r="I24" s="52">
        <v>3.0</v>
      </c>
      <c r="J24" s="53">
        <v>2.0</v>
      </c>
      <c r="K24" s="54">
        <v>4.9</v>
      </c>
      <c r="L24" s="55">
        <f>SUM('P105'!$I24:$K24)</f>
        <v>9.9</v>
      </c>
      <c r="M24" s="52">
        <v>3.0</v>
      </c>
      <c r="N24" s="53">
        <v>2.0</v>
      </c>
      <c r="O24" s="54">
        <v>5.0</v>
      </c>
      <c r="P24" s="55">
        <f>SUM('P105'!$M24:$O24)</f>
        <v>10</v>
      </c>
      <c r="Q24" s="52">
        <v>1.83</v>
      </c>
      <c r="R24" s="53">
        <v>1.5</v>
      </c>
      <c r="S24" s="54">
        <v>4.4</v>
      </c>
      <c r="T24" s="55">
        <f>SUM('P105'!$Q24:$S24)</f>
        <v>7.73</v>
      </c>
      <c r="U24" s="56">
        <f>('P105'!$L24+'P105'!$P24+'P105'!$T24)*'P105'!$F24</f>
        <v>27.24354748</v>
      </c>
      <c r="V24" s="57">
        <v>2.65</v>
      </c>
      <c r="W24" s="57">
        <v>9.6</v>
      </c>
      <c r="X24" s="58">
        <f>SUM('P105'!$V24:$W24)*'P105'!$G24</f>
        <v>12.41154544</v>
      </c>
      <c r="Y24" s="59">
        <v>1.5</v>
      </c>
      <c r="Z24" s="59">
        <v>3.0</v>
      </c>
      <c r="AA24" s="59">
        <v>1.5</v>
      </c>
      <c r="AB24" s="60" t="str">
        <f>IF(SUM('P105'!$Y24:$AA24)&gt;5.9,"SI","NO")</f>
        <v>SI</v>
      </c>
      <c r="AC24" s="61">
        <f>SUM('P105'!$Y24:$AA24)</f>
        <v>6</v>
      </c>
      <c r="AD24" s="62">
        <v>1.9</v>
      </c>
      <c r="AE24" s="62">
        <v>6.1</v>
      </c>
      <c r="AF24" s="63" t="str">
        <f>IF('P105'!$AG24&gt;5.9,"SI","NO")</f>
        <v>SI</v>
      </c>
      <c r="AG24" s="64">
        <f>SUM('P105'!$AD24:$AE24)</f>
        <v>8</v>
      </c>
      <c r="AH24" s="65">
        <v>3.0</v>
      </c>
      <c r="AI24" s="65">
        <v>1.5</v>
      </c>
      <c r="AJ24" s="66">
        <f>AVERAGE('P105'!$AH24:$AI24)</f>
        <v>2.25</v>
      </c>
      <c r="AK24" s="142">
        <v>1.0</v>
      </c>
      <c r="AL24" s="143">
        <v>4.0</v>
      </c>
      <c r="AM24" s="144">
        <v>3.5</v>
      </c>
      <c r="AN24" s="46">
        <f>(('P105'!$AL24+'P105'!$AM24))*'P105'!$AK24</f>
        <v>7.5</v>
      </c>
      <c r="AO24" s="70">
        <f t="shared" si="1"/>
        <v>10.27353966</v>
      </c>
      <c r="AP24" s="71">
        <f>SUM('P105'!$U24)</f>
        <v>27.24354748</v>
      </c>
      <c r="AQ24" s="71">
        <f>SUM(AN24,AJ24,AG24,AC24,X24,'P105'!$AO24)</f>
        <v>46.4350851</v>
      </c>
      <c r="AR24" s="247">
        <f>'P105'!$AP24+'P105'!$AQ24</f>
        <v>73.67863258</v>
      </c>
    </row>
    <row r="25" ht="14.25" customHeight="1">
      <c r="A25" s="250" t="s">
        <v>492</v>
      </c>
      <c r="B25" s="103">
        <v>2.02508917E8</v>
      </c>
      <c r="C25" s="103" t="s">
        <v>493</v>
      </c>
      <c r="D25" s="251">
        <v>3.0</v>
      </c>
      <c r="E25" s="49"/>
      <c r="F25" s="252">
        <v>1.0</v>
      </c>
      <c r="G25" s="51">
        <v>1.005884876</v>
      </c>
      <c r="H25" s="51">
        <v>1.0</v>
      </c>
      <c r="I25" s="52">
        <v>2.25</v>
      </c>
      <c r="J25" s="53">
        <v>2.0</v>
      </c>
      <c r="K25" s="54">
        <v>4.5</v>
      </c>
      <c r="L25" s="55">
        <f>SUM('P105'!$I25:$K25)</f>
        <v>8.75</v>
      </c>
      <c r="M25" s="52">
        <v>3.0</v>
      </c>
      <c r="N25" s="53">
        <v>2.0</v>
      </c>
      <c r="O25" s="54">
        <v>5.0</v>
      </c>
      <c r="P25" s="55">
        <f>SUM('P105'!$M25:$O25)</f>
        <v>10</v>
      </c>
      <c r="Q25" s="52">
        <v>1.5</v>
      </c>
      <c r="R25" s="53">
        <v>1.75</v>
      </c>
      <c r="S25" s="54">
        <v>0.0</v>
      </c>
      <c r="T25" s="55">
        <f>SUM('P105'!$Q25:$S25)</f>
        <v>3.25</v>
      </c>
      <c r="U25" s="56">
        <f>('P105'!$L25+'P105'!$P25+'P105'!$T25)*'P105'!$F25</f>
        <v>22</v>
      </c>
      <c r="V25" s="57">
        <v>5.0</v>
      </c>
      <c r="W25" s="57">
        <v>5.3</v>
      </c>
      <c r="X25" s="58">
        <f>SUM('P105'!$V25:$W25)*'P105'!$G25</f>
        <v>10.36061422</v>
      </c>
      <c r="Y25" s="59">
        <v>2.0</v>
      </c>
      <c r="Z25" s="59">
        <v>1.5</v>
      </c>
      <c r="AA25" s="59">
        <v>3.75</v>
      </c>
      <c r="AB25" s="60" t="str">
        <f>IF(SUM('P105'!$Y25:$AA25)&gt;5.9,"SI","NO")</f>
        <v>SI</v>
      </c>
      <c r="AC25" s="61">
        <f>SUM('P105'!$Y25:$AA25)</f>
        <v>7.25</v>
      </c>
      <c r="AD25" s="62">
        <v>2.0</v>
      </c>
      <c r="AE25" s="62">
        <v>0.0</v>
      </c>
      <c r="AF25" s="63" t="str">
        <f>IF('P105'!$AG25&gt;5.9,"SI","NO")</f>
        <v>NO</v>
      </c>
      <c r="AG25" s="64">
        <f>SUM('P105'!$AD25:$AE25)</f>
        <v>2</v>
      </c>
      <c r="AH25" s="141">
        <f>IF('P105'!$AF25="NO",0," ")</f>
        <v>0</v>
      </c>
      <c r="AI25" s="141">
        <f>IF('P105'!$AF25="NO",0," ")</f>
        <v>0</v>
      </c>
      <c r="AJ25" s="66">
        <f>AVERAGE('P105'!$AH25:$AI25)</f>
        <v>0</v>
      </c>
      <c r="AK25" s="142">
        <v>0.0</v>
      </c>
      <c r="AL25" s="143">
        <v>0.0</v>
      </c>
      <c r="AM25" s="144">
        <v>0.0</v>
      </c>
      <c r="AN25" s="46">
        <f>(('P105'!$AL25+'P105'!$AM25))*'P105'!$AK25</f>
        <v>0</v>
      </c>
      <c r="AO25" s="70">
        <f t="shared" si="1"/>
        <v>10</v>
      </c>
      <c r="AP25" s="71">
        <f>SUM('P105'!$U25)</f>
        <v>22</v>
      </c>
      <c r="AQ25" s="71">
        <f>SUM(AN25,AJ25,AG25,AC25,X25,'P105'!$AO25)</f>
        <v>29.61061422</v>
      </c>
      <c r="AR25" s="247">
        <f>'P105'!$AP25+'P105'!$AQ25</f>
        <v>51.61061422</v>
      </c>
    </row>
    <row r="26" ht="14.25" customHeight="1">
      <c r="A26" s="250" t="s">
        <v>494</v>
      </c>
      <c r="B26" s="103">
        <v>2.0231325E8</v>
      </c>
      <c r="C26" s="103" t="s">
        <v>495</v>
      </c>
      <c r="D26" s="251">
        <v>10.0</v>
      </c>
      <c r="E26" s="49"/>
      <c r="F26" s="252">
        <v>0.94167518</v>
      </c>
      <c r="G26" s="51">
        <v>0.940720868</v>
      </c>
      <c r="H26" s="51">
        <v>0.945755985</v>
      </c>
      <c r="I26" s="52">
        <v>3.0</v>
      </c>
      <c r="J26" s="53">
        <v>2.0</v>
      </c>
      <c r="K26" s="54">
        <v>4.9</v>
      </c>
      <c r="L26" s="55">
        <f>SUM('P105'!$I26:$K26)</f>
        <v>9.9</v>
      </c>
      <c r="M26" s="52">
        <v>3.0</v>
      </c>
      <c r="N26" s="53">
        <v>2.0</v>
      </c>
      <c r="O26" s="54">
        <v>5.0</v>
      </c>
      <c r="P26" s="55">
        <f>SUM('P105'!$M26:$O26)</f>
        <v>10</v>
      </c>
      <c r="Q26" s="52">
        <v>2.25</v>
      </c>
      <c r="R26" s="53">
        <v>1.5</v>
      </c>
      <c r="S26" s="54">
        <v>4.4</v>
      </c>
      <c r="T26" s="55">
        <f>SUM('P105'!$Q26:$S26)</f>
        <v>8.15</v>
      </c>
      <c r="U26" s="56">
        <f>('P105'!$L26+'P105'!$P26+'P105'!$T26)*'P105'!$F26</f>
        <v>26.4139888</v>
      </c>
      <c r="V26" s="57">
        <v>2.65</v>
      </c>
      <c r="W26" s="57">
        <v>9.6</v>
      </c>
      <c r="X26" s="58">
        <f>SUM('P105'!$V26:$W26)*'P105'!$G26</f>
        <v>11.52383063</v>
      </c>
      <c r="Y26" s="59">
        <v>0.0</v>
      </c>
      <c r="Z26" s="59">
        <v>0.0</v>
      </c>
      <c r="AA26" s="59">
        <v>0.0</v>
      </c>
      <c r="AB26" s="60" t="str">
        <f>IF(SUM('P105'!$Y26:$AA26)&gt;5.9,"SI","NO")</f>
        <v>NO</v>
      </c>
      <c r="AC26" s="61">
        <f>SUM('P105'!$Y26:$AA26)</f>
        <v>0</v>
      </c>
      <c r="AD26" s="62">
        <v>1.9</v>
      </c>
      <c r="AE26" s="62">
        <v>6.1</v>
      </c>
      <c r="AF26" s="63" t="str">
        <f>IF('P105'!$AG26&gt;5.9,"SI","NO")</f>
        <v>SI</v>
      </c>
      <c r="AG26" s="64">
        <f>SUM('P105'!$AD26:$AE26)</f>
        <v>8</v>
      </c>
      <c r="AH26" s="65">
        <v>3.0</v>
      </c>
      <c r="AI26" s="65">
        <v>1.5</v>
      </c>
      <c r="AJ26" s="66">
        <f>AVERAGE('P105'!$AH26:$AI26)</f>
        <v>2.25</v>
      </c>
      <c r="AK26" s="142">
        <v>1.0</v>
      </c>
      <c r="AL26" s="143">
        <v>0.0</v>
      </c>
      <c r="AM26" s="144">
        <v>0.0</v>
      </c>
      <c r="AN26" s="46">
        <f>(('P105'!$AL26+'P105'!$AM26))*'P105'!$AK26</f>
        <v>0</v>
      </c>
      <c r="AO26" s="70">
        <f t="shared" si="1"/>
        <v>9.45755985</v>
      </c>
      <c r="AP26" s="71">
        <f>SUM('P105'!$U26)</f>
        <v>26.4139888</v>
      </c>
      <c r="AQ26" s="71">
        <f>SUM(AN26,AJ26,AG26,AC26,X26,'P105'!$AO26)</f>
        <v>31.23139048</v>
      </c>
      <c r="AR26" s="247">
        <f>'P105'!$AP26+'P105'!$AQ26</f>
        <v>57.64537928</v>
      </c>
    </row>
    <row r="27" ht="14.25" customHeight="1">
      <c r="A27" s="250" t="s">
        <v>496</v>
      </c>
      <c r="B27" s="103">
        <v>2.02501011E8</v>
      </c>
      <c r="C27" s="103" t="s">
        <v>497</v>
      </c>
      <c r="D27" s="251">
        <v>6.0</v>
      </c>
      <c r="E27" s="49"/>
      <c r="F27" s="252">
        <v>1.34839972</v>
      </c>
      <c r="G27" s="51">
        <v>1.275153426</v>
      </c>
      <c r="H27" s="51">
        <v>1.348399725</v>
      </c>
      <c r="I27" s="52">
        <v>3.0</v>
      </c>
      <c r="J27" s="53">
        <v>2.0</v>
      </c>
      <c r="K27" s="54">
        <v>5.0</v>
      </c>
      <c r="L27" s="55">
        <f>SUM('P105'!$I27:$K27)</f>
        <v>10</v>
      </c>
      <c r="M27" s="52">
        <v>3.0</v>
      </c>
      <c r="N27" s="53">
        <v>2.0</v>
      </c>
      <c r="O27" s="54">
        <v>5.0</v>
      </c>
      <c r="P27" s="55">
        <f>SUM('P105'!$M27:$O27)</f>
        <v>10</v>
      </c>
      <c r="Q27" s="52">
        <v>3.0</v>
      </c>
      <c r="R27" s="53">
        <v>1.25</v>
      </c>
      <c r="S27" s="54">
        <v>5.0</v>
      </c>
      <c r="T27" s="55">
        <f>SUM('P105'!$Q27:$S27)</f>
        <v>9.25</v>
      </c>
      <c r="U27" s="56">
        <f>('P105'!$L27+'P105'!$P27+'P105'!$T27)*'P105'!$F27</f>
        <v>39.44069181</v>
      </c>
      <c r="V27" s="57">
        <v>3.15</v>
      </c>
      <c r="W27" s="57">
        <v>9.1</v>
      </c>
      <c r="X27" s="58">
        <f>SUM('P105'!$V27:$W27)*'P105'!$G27</f>
        <v>15.62062947</v>
      </c>
      <c r="Y27" s="59">
        <v>0.0</v>
      </c>
      <c r="Z27" s="59">
        <v>0.0</v>
      </c>
      <c r="AA27" s="59">
        <v>0.0</v>
      </c>
      <c r="AB27" s="60" t="str">
        <f>IF(SUM('P105'!$Y27:$AA27)&gt;5.9,"SI","NO")</f>
        <v>NO</v>
      </c>
      <c r="AC27" s="61">
        <f>SUM('P105'!$Y27:$AA27)</f>
        <v>0</v>
      </c>
      <c r="AD27" s="62">
        <v>1.8</v>
      </c>
      <c r="AE27" s="62">
        <v>4.2</v>
      </c>
      <c r="AF27" s="63" t="str">
        <f>IF('P105'!$AG27&gt;5.9,"SI","NO")</f>
        <v>SI</v>
      </c>
      <c r="AG27" s="64">
        <f>SUM('P105'!$AD27:$AE27)</f>
        <v>6</v>
      </c>
      <c r="AH27" s="65">
        <v>2.5</v>
      </c>
      <c r="AI27" s="65">
        <v>2.0</v>
      </c>
      <c r="AJ27" s="66">
        <f>AVERAGE('P105'!$AH27:$AI27)</f>
        <v>2.25</v>
      </c>
      <c r="AK27" s="142">
        <v>1.0</v>
      </c>
      <c r="AL27" s="143">
        <v>0.0</v>
      </c>
      <c r="AM27" s="144">
        <v>0.0</v>
      </c>
      <c r="AN27" s="46">
        <f>(('P105'!$AL27+'P105'!$AM27))*'P105'!$AK27</f>
        <v>0</v>
      </c>
      <c r="AO27" s="70">
        <f t="shared" si="1"/>
        <v>13.48399725</v>
      </c>
      <c r="AP27" s="71">
        <f>SUM('P105'!$U27)</f>
        <v>39.44069181</v>
      </c>
      <c r="AQ27" s="71">
        <f>SUM(AN27,AJ27,AG27,AC27,X27,'P105'!$AO27)</f>
        <v>37.35462672</v>
      </c>
      <c r="AR27" s="247">
        <f>'P105'!$AP27+'P105'!$AQ27</f>
        <v>76.79531853</v>
      </c>
    </row>
    <row r="28" ht="14.25" customHeight="1">
      <c r="A28" s="250" t="s">
        <v>498</v>
      </c>
      <c r="B28" s="103">
        <v>2.02416277E8</v>
      </c>
      <c r="C28" s="103" t="s">
        <v>499</v>
      </c>
      <c r="D28" s="251">
        <v>5.0</v>
      </c>
      <c r="E28" s="49"/>
      <c r="F28" s="252">
        <v>1.10940039</v>
      </c>
      <c r="G28" s="51">
        <v>1.109400392</v>
      </c>
      <c r="H28" s="51">
        <v>1.0</v>
      </c>
      <c r="I28" s="52">
        <v>2.25</v>
      </c>
      <c r="J28" s="53">
        <v>1.75</v>
      </c>
      <c r="K28" s="54">
        <v>4.1</v>
      </c>
      <c r="L28" s="55">
        <f>SUM('P105'!$I28:$K28)</f>
        <v>8.1</v>
      </c>
      <c r="M28" s="52">
        <v>3.0</v>
      </c>
      <c r="N28" s="53">
        <v>2.0</v>
      </c>
      <c r="O28" s="54">
        <v>5.0</v>
      </c>
      <c r="P28" s="55">
        <f>SUM('P105'!$M28:$O28)</f>
        <v>10</v>
      </c>
      <c r="Q28" s="52">
        <v>2.25</v>
      </c>
      <c r="R28" s="53">
        <v>1.75</v>
      </c>
      <c r="S28" s="54">
        <v>5.0</v>
      </c>
      <c r="T28" s="55">
        <f>SUM('P105'!$Q28:$S28)</f>
        <v>9</v>
      </c>
      <c r="U28" s="56">
        <f>('P105'!$L28+'P105'!$P28+'P105'!$T28)*'P105'!$F28</f>
        <v>30.06475057</v>
      </c>
      <c r="V28" s="57">
        <v>2.7</v>
      </c>
      <c r="W28" s="57">
        <v>3.8</v>
      </c>
      <c r="X28" s="58">
        <f>SUM('P105'!$V28:$W28)*'P105'!$G28</f>
        <v>7.211102548</v>
      </c>
      <c r="Y28" s="59">
        <v>2.0</v>
      </c>
      <c r="Z28" s="59">
        <v>3.0</v>
      </c>
      <c r="AA28" s="59">
        <v>5.0</v>
      </c>
      <c r="AB28" s="60" t="str">
        <f>IF(SUM('P105'!$Y28:$AA28)&gt;5.9,"SI","NO")</f>
        <v>SI</v>
      </c>
      <c r="AC28" s="61">
        <f>SUM('P105'!$Y28:$AA28)</f>
        <v>10</v>
      </c>
      <c r="AD28" s="62">
        <v>0.0</v>
      </c>
      <c r="AE28" s="62">
        <v>4.0</v>
      </c>
      <c r="AF28" s="63" t="str">
        <f>IF('P105'!$AG28&gt;5.9,"SI","NO")</f>
        <v>NO</v>
      </c>
      <c r="AG28" s="64">
        <f>SUM('P105'!$AD28:$AE28)</f>
        <v>4</v>
      </c>
      <c r="AH28" s="141">
        <f>IF('P105'!$AF28="NO",0," ")</f>
        <v>0</v>
      </c>
      <c r="AI28" s="141">
        <f>IF('P105'!$AF28="NO",0," ")</f>
        <v>0</v>
      </c>
      <c r="AJ28" s="66">
        <f>AVERAGE('P105'!$AH28:$AI28)</f>
        <v>0</v>
      </c>
      <c r="AK28" s="142">
        <v>0.0</v>
      </c>
      <c r="AL28" s="143">
        <v>0.0</v>
      </c>
      <c r="AM28" s="144">
        <v>0.0</v>
      </c>
      <c r="AN28" s="46">
        <f>(('P105'!$AL28+'P105'!$AM28))*'P105'!$AK28</f>
        <v>0</v>
      </c>
      <c r="AO28" s="70">
        <f t="shared" si="1"/>
        <v>10</v>
      </c>
      <c r="AP28" s="71">
        <f>SUM('P105'!$U28)</f>
        <v>30.06475057</v>
      </c>
      <c r="AQ28" s="71">
        <f>SUM(AN28,AJ28,AG28,AC28,X28,'P105'!$AO28)</f>
        <v>31.21110255</v>
      </c>
      <c r="AR28" s="247">
        <f>'P105'!$AP28+'P105'!$AQ28</f>
        <v>61.27585312</v>
      </c>
    </row>
    <row r="29" ht="14.25" customHeight="1">
      <c r="A29" s="250" t="s">
        <v>500</v>
      </c>
      <c r="B29" s="103">
        <v>2.02511572E8</v>
      </c>
      <c r="C29" s="103" t="s">
        <v>501</v>
      </c>
      <c r="D29" s="251">
        <v>6.0</v>
      </c>
      <c r="E29" s="49"/>
      <c r="F29" s="252">
        <v>1.05350153</v>
      </c>
      <c r="G29" s="51">
        <v>1.132882368</v>
      </c>
      <c r="H29" s="51">
        <v>1.017259184</v>
      </c>
      <c r="I29" s="52">
        <v>1.5</v>
      </c>
      <c r="J29" s="53">
        <v>2.0</v>
      </c>
      <c r="K29" s="54">
        <v>0.0</v>
      </c>
      <c r="L29" s="55">
        <f>SUM('P105'!$I29:$K29)</f>
        <v>3.5</v>
      </c>
      <c r="M29" s="52">
        <v>3.0</v>
      </c>
      <c r="N29" s="53">
        <v>2.0</v>
      </c>
      <c r="O29" s="54">
        <v>5.0</v>
      </c>
      <c r="P29" s="55">
        <f>SUM('P105'!$M29:$O29)</f>
        <v>10</v>
      </c>
      <c r="Q29" s="52">
        <v>2.25</v>
      </c>
      <c r="R29" s="53">
        <v>1.25</v>
      </c>
      <c r="S29" s="54">
        <v>4.2</v>
      </c>
      <c r="T29" s="55">
        <f>SUM('P105'!$Q29:$S29)</f>
        <v>7.7</v>
      </c>
      <c r="U29" s="56">
        <f>('P105'!$L29+'P105'!$P29+'P105'!$T29)*'P105'!$F29</f>
        <v>22.33423244</v>
      </c>
      <c r="V29" s="57">
        <v>3.15</v>
      </c>
      <c r="W29" s="57">
        <v>9.1</v>
      </c>
      <c r="X29" s="58">
        <f>SUM('P105'!$V29:$W29)*'P105'!$G29</f>
        <v>13.87780901</v>
      </c>
      <c r="Y29" s="59">
        <v>2.0</v>
      </c>
      <c r="Z29" s="59">
        <v>1.5</v>
      </c>
      <c r="AA29" s="59">
        <v>2.5</v>
      </c>
      <c r="AB29" s="60" t="str">
        <f>IF(SUM('P105'!$Y29:$AA29)&gt;5.9,"SI","NO")</f>
        <v>SI</v>
      </c>
      <c r="AC29" s="61">
        <f>SUM('P105'!$Y29:$AA29)</f>
        <v>6</v>
      </c>
      <c r="AD29" s="62">
        <v>1.8</v>
      </c>
      <c r="AE29" s="62">
        <v>4.2</v>
      </c>
      <c r="AF29" s="63" t="str">
        <f>IF('P105'!$AG29&gt;5.9,"SI","NO")</f>
        <v>SI</v>
      </c>
      <c r="AG29" s="64">
        <f>SUM('P105'!$AD29:$AE29)</f>
        <v>6</v>
      </c>
      <c r="AH29" s="65">
        <v>2.5</v>
      </c>
      <c r="AI29" s="65">
        <v>2.0</v>
      </c>
      <c r="AJ29" s="66">
        <f>AVERAGE('P105'!$AH29:$AI29)</f>
        <v>2.25</v>
      </c>
      <c r="AK29" s="142">
        <v>1.0</v>
      </c>
      <c r="AL29" s="143">
        <v>6.0</v>
      </c>
      <c r="AM29" s="144">
        <v>3.5</v>
      </c>
      <c r="AN29" s="46">
        <f>(('P105'!$AL29+'P105'!$AM29))*'P105'!$AK29</f>
        <v>9.5</v>
      </c>
      <c r="AO29" s="70">
        <f t="shared" si="1"/>
        <v>10.17259184</v>
      </c>
      <c r="AP29" s="71">
        <f>SUM('P105'!$U29)</f>
        <v>22.33423244</v>
      </c>
      <c r="AQ29" s="71">
        <f>SUM(AN29,AJ29,AG29,AC29,X29,'P105'!$AO29)</f>
        <v>47.80040085</v>
      </c>
      <c r="AR29" s="247">
        <f>'P105'!$AP29+'P105'!$AQ29</f>
        <v>70.13463328</v>
      </c>
    </row>
    <row r="30" ht="14.25" customHeight="1">
      <c r="A30" s="250" t="s">
        <v>502</v>
      </c>
      <c r="B30" s="103">
        <v>2.02508768E8</v>
      </c>
      <c r="C30" s="103" t="s">
        <v>503</v>
      </c>
      <c r="D30" s="251">
        <v>7.0</v>
      </c>
      <c r="E30" s="49"/>
      <c r="F30" s="252">
        <v>1.0010015</v>
      </c>
      <c r="G30" s="51">
        <v>1.005037815</v>
      </c>
      <c r="H30" s="51">
        <v>0.997488485</v>
      </c>
      <c r="I30" s="52">
        <v>2.25</v>
      </c>
      <c r="J30" s="53">
        <v>2.0</v>
      </c>
      <c r="K30" s="54">
        <v>4.65</v>
      </c>
      <c r="L30" s="55">
        <f>SUM('P105'!$I30:$K30)</f>
        <v>8.9</v>
      </c>
      <c r="M30" s="52">
        <v>3.0</v>
      </c>
      <c r="N30" s="53">
        <v>2.0</v>
      </c>
      <c r="O30" s="54">
        <v>5.0</v>
      </c>
      <c r="P30" s="55">
        <f>SUM('P105'!$M30:$O30)</f>
        <v>10</v>
      </c>
      <c r="Q30" s="52">
        <v>1.5</v>
      </c>
      <c r="R30" s="53">
        <v>2.0</v>
      </c>
      <c r="S30" s="54">
        <v>4.1</v>
      </c>
      <c r="T30" s="55">
        <f>SUM('P105'!$Q30:$S30)</f>
        <v>7.6</v>
      </c>
      <c r="U30" s="56">
        <f>('P105'!$L30+'P105'!$P30+'P105'!$T30)*'P105'!$F30</f>
        <v>26.52653975</v>
      </c>
      <c r="V30" s="57">
        <v>2.7</v>
      </c>
      <c r="W30" s="57">
        <v>9.3</v>
      </c>
      <c r="X30" s="58">
        <f>SUM('P105'!$V30:$W30)*'P105'!$G30</f>
        <v>12.06045378</v>
      </c>
      <c r="Y30" s="59">
        <v>1.5</v>
      </c>
      <c r="Z30" s="59">
        <v>3.0</v>
      </c>
      <c r="AA30" s="59">
        <v>2.5</v>
      </c>
      <c r="AB30" s="60" t="str">
        <f>IF(SUM('P105'!$Y30:$AA30)&gt;5.9,"SI","NO")</f>
        <v>SI</v>
      </c>
      <c r="AC30" s="61">
        <f>SUM('P105'!$Y30:$AA30)</f>
        <v>7</v>
      </c>
      <c r="AD30" s="62">
        <v>1.0</v>
      </c>
      <c r="AE30" s="62">
        <v>4.5</v>
      </c>
      <c r="AF30" s="63" t="str">
        <f>IF('P105'!$AG30&gt;5.9,"SI","NO")</f>
        <v>NO</v>
      </c>
      <c r="AG30" s="64">
        <f>SUM('P105'!$AD30:$AE30)</f>
        <v>5.5</v>
      </c>
      <c r="AH30" s="65">
        <v>2.5</v>
      </c>
      <c r="AI30" s="65">
        <v>2.5</v>
      </c>
      <c r="AJ30" s="66">
        <f>AVERAGE('P105'!$AH30:$AI30)</f>
        <v>2.5</v>
      </c>
      <c r="AK30" s="142">
        <v>0.0</v>
      </c>
      <c r="AL30" s="143">
        <v>0.0</v>
      </c>
      <c r="AM30" s="144">
        <v>0.0</v>
      </c>
      <c r="AN30" s="46">
        <f>(('P105'!$AL30+'P105'!$AM30))*'P105'!$AK30</f>
        <v>0</v>
      </c>
      <c r="AO30" s="70">
        <f t="shared" si="1"/>
        <v>9.97488485</v>
      </c>
      <c r="AP30" s="71">
        <f>SUM('P105'!$U30)</f>
        <v>26.52653975</v>
      </c>
      <c r="AQ30" s="71">
        <f>SUM(AN30,AJ30,AG30,AC30,X30,'P105'!$AO30)</f>
        <v>37.03533863</v>
      </c>
      <c r="AR30" s="247">
        <f>'P105'!$AP30+'P105'!$AQ30</f>
        <v>63.56187838</v>
      </c>
    </row>
    <row r="31" ht="14.25" customHeight="1">
      <c r="A31" s="250" t="s">
        <v>504</v>
      </c>
      <c r="B31" s="103">
        <v>2.02414223E8</v>
      </c>
      <c r="C31" s="103" t="s">
        <v>505</v>
      </c>
      <c r="D31" s="251">
        <v>9.0</v>
      </c>
      <c r="E31" s="49"/>
      <c r="F31" s="252">
        <v>0.99899143</v>
      </c>
      <c r="G31" s="51">
        <v>1.017700489</v>
      </c>
      <c r="H31" s="51">
        <v>1.0</v>
      </c>
      <c r="I31" s="52">
        <v>3.0</v>
      </c>
      <c r="J31" s="53">
        <v>2.0</v>
      </c>
      <c r="K31" s="54">
        <v>5.0</v>
      </c>
      <c r="L31" s="55">
        <f>SUM('P105'!$I31:$K31)</f>
        <v>10</v>
      </c>
      <c r="M31" s="52">
        <v>3.0</v>
      </c>
      <c r="N31" s="53">
        <v>2.0</v>
      </c>
      <c r="O31" s="54">
        <v>5.0</v>
      </c>
      <c r="P31" s="55">
        <f>SUM('P105'!$M31:$O31)</f>
        <v>10</v>
      </c>
      <c r="Q31" s="52">
        <v>0.0</v>
      </c>
      <c r="R31" s="53">
        <v>2.0</v>
      </c>
      <c r="S31" s="54">
        <v>4.2</v>
      </c>
      <c r="T31" s="55">
        <f>SUM('P105'!$Q31:$S31)</f>
        <v>6.2</v>
      </c>
      <c r="U31" s="56">
        <f>('P105'!$L31+'P105'!$P31+'P105'!$T31)*'P105'!$F31</f>
        <v>26.17357547</v>
      </c>
      <c r="V31" s="57">
        <v>3.0</v>
      </c>
      <c r="W31" s="57">
        <v>8.3</v>
      </c>
      <c r="X31" s="58">
        <f>SUM('P105'!$V31:$W31)*'P105'!$G31</f>
        <v>11.50001553</v>
      </c>
      <c r="Y31" s="59">
        <v>1.5</v>
      </c>
      <c r="Z31" s="59">
        <v>1.5</v>
      </c>
      <c r="AA31" s="59">
        <v>0.0</v>
      </c>
      <c r="AB31" s="60" t="str">
        <f>IF(SUM('P105'!$Y31:$AA31)&gt;5.9,"SI","NO")</f>
        <v>NO</v>
      </c>
      <c r="AC31" s="61">
        <f>SUM('P105'!$Y31:$AA31)</f>
        <v>3</v>
      </c>
      <c r="AD31" s="62">
        <v>1.0</v>
      </c>
      <c r="AE31" s="62">
        <v>4.0</v>
      </c>
      <c r="AF31" s="63" t="str">
        <f>IF('P105'!$AG31&gt;5.9,"SI","NO")</f>
        <v>NO</v>
      </c>
      <c r="AG31" s="64">
        <f>SUM('P105'!$AD31:$AE31)</f>
        <v>5</v>
      </c>
      <c r="AH31" s="65">
        <v>2.5</v>
      </c>
      <c r="AI31" s="65">
        <v>2.5</v>
      </c>
      <c r="AJ31" s="66">
        <f>AVERAGE('P105'!$AH31:$AI31)</f>
        <v>2.5</v>
      </c>
      <c r="AK31" s="142">
        <v>0.0</v>
      </c>
      <c r="AL31" s="143">
        <v>0.0</v>
      </c>
      <c r="AM31" s="144">
        <v>0.0</v>
      </c>
      <c r="AN31" s="46">
        <f>(('P105'!$AL31+'P105'!$AM31))*'P105'!$AK31</f>
        <v>0</v>
      </c>
      <c r="AO31" s="70">
        <f t="shared" si="1"/>
        <v>10</v>
      </c>
      <c r="AP31" s="71">
        <f>SUM('P105'!$U31)</f>
        <v>26.17357547</v>
      </c>
      <c r="AQ31" s="71">
        <f>SUM(AN31,AJ31,AG31,AC31,X31,'P105'!$AO31)</f>
        <v>32.00001553</v>
      </c>
      <c r="AR31" s="247">
        <f>'P105'!$AP31+'P105'!$AQ31</f>
        <v>58.17359099</v>
      </c>
    </row>
    <row r="32" ht="14.25" customHeight="1">
      <c r="A32" s="250" t="s">
        <v>506</v>
      </c>
      <c r="B32" s="103">
        <v>2.02507885E8</v>
      </c>
      <c r="C32" s="103" t="s">
        <v>507</v>
      </c>
      <c r="D32" s="251">
        <v>1.0</v>
      </c>
      <c r="E32" s="49"/>
      <c r="F32" s="252">
        <v>0.99118926</v>
      </c>
      <c r="G32" s="51">
        <v>1.008438968</v>
      </c>
      <c r="H32" s="51">
        <v>1.001391789</v>
      </c>
      <c r="I32" s="52">
        <v>3.0</v>
      </c>
      <c r="J32" s="53">
        <v>2.0</v>
      </c>
      <c r="K32" s="54">
        <v>3.3</v>
      </c>
      <c r="L32" s="55">
        <f>SUM('P105'!$I32:$K32)</f>
        <v>8.3</v>
      </c>
      <c r="M32" s="52">
        <v>3.0</v>
      </c>
      <c r="N32" s="53">
        <v>2.0</v>
      </c>
      <c r="O32" s="54">
        <v>5.0</v>
      </c>
      <c r="P32" s="55">
        <f>SUM('P105'!$M32:$O32)</f>
        <v>10</v>
      </c>
      <c r="Q32" s="52">
        <v>2.25</v>
      </c>
      <c r="R32" s="53">
        <v>2.0</v>
      </c>
      <c r="S32" s="54">
        <v>4.95</v>
      </c>
      <c r="T32" s="55">
        <f>SUM('P105'!$Q32:$S32)</f>
        <v>9.2</v>
      </c>
      <c r="U32" s="56">
        <f>('P105'!$L32+'P105'!$P32+'P105'!$T32)*'P105'!$F32</f>
        <v>27.25770465</v>
      </c>
      <c r="V32" s="57">
        <v>4.3</v>
      </c>
      <c r="W32" s="57">
        <v>6.6</v>
      </c>
      <c r="X32" s="58">
        <f>SUM('P105'!$V32:$W32)*'P105'!$G32</f>
        <v>10.99198475</v>
      </c>
      <c r="Y32" s="80">
        <v>1.5</v>
      </c>
      <c r="Z32" s="59">
        <v>3.0</v>
      </c>
      <c r="AA32" s="59">
        <v>2.5</v>
      </c>
      <c r="AB32" s="60" t="str">
        <f>IF(SUM('P105'!$Y32:$AA32)&gt;5.9,"SI","NO")</f>
        <v>SI</v>
      </c>
      <c r="AC32" s="61">
        <f>SUM('P105'!$Y32:$AA32)</f>
        <v>7</v>
      </c>
      <c r="AD32" s="62">
        <v>0.0</v>
      </c>
      <c r="AE32" s="62">
        <v>0.0</v>
      </c>
      <c r="AF32" s="63" t="str">
        <f>IF('P105'!$AG32&gt;5.9,"SI","NO")</f>
        <v>NO</v>
      </c>
      <c r="AG32" s="64">
        <f>SUM('P105'!$AD32:$AE32)</f>
        <v>0</v>
      </c>
      <c r="AH32" s="141">
        <f>IF('P105'!$AF32="NO",0," ")</f>
        <v>0</v>
      </c>
      <c r="AI32" s="141">
        <f>IF('P105'!$AF32="NO",0," ")</f>
        <v>0</v>
      </c>
      <c r="AJ32" s="66">
        <f>AVERAGE('P105'!$AH32:$AI32)</f>
        <v>0</v>
      </c>
      <c r="AK32" s="142">
        <v>0.0</v>
      </c>
      <c r="AL32" s="143">
        <v>0.0</v>
      </c>
      <c r="AM32" s="144">
        <v>0.0</v>
      </c>
      <c r="AN32" s="46">
        <f>(('P105'!$AL32+'P105'!$AM32))*'P105'!$AK32</f>
        <v>0</v>
      </c>
      <c r="AO32" s="70">
        <f t="shared" si="1"/>
        <v>10.01391789</v>
      </c>
      <c r="AP32" s="71">
        <f>SUM('P105'!$U32)</f>
        <v>27.25770465</v>
      </c>
      <c r="AQ32" s="71">
        <f>SUM(AN32,AJ32,AG32,AC32,X32,'P105'!$AO32)</f>
        <v>28.00590264</v>
      </c>
      <c r="AR32" s="247">
        <f>'P105'!$AP32+'P105'!$AQ32</f>
        <v>55.26360729</v>
      </c>
    </row>
    <row r="33" ht="14.25" customHeight="1">
      <c r="A33" s="250" t="s">
        <v>508</v>
      </c>
      <c r="B33" s="103">
        <v>2.02509246E8</v>
      </c>
      <c r="C33" s="103" t="s">
        <v>509</v>
      </c>
      <c r="D33" s="251">
        <v>7.0</v>
      </c>
      <c r="E33" s="49"/>
      <c r="F33" s="252">
        <v>1.0010015</v>
      </c>
      <c r="G33" s="51">
        <v>1.005037815</v>
      </c>
      <c r="H33" s="51">
        <v>1.001670845</v>
      </c>
      <c r="I33" s="52">
        <v>3.0</v>
      </c>
      <c r="J33" s="53">
        <v>2.0</v>
      </c>
      <c r="K33" s="54">
        <v>4.65</v>
      </c>
      <c r="L33" s="55">
        <f>SUM('P105'!$I33:$K33)</f>
        <v>9.65</v>
      </c>
      <c r="M33" s="52">
        <v>3.0</v>
      </c>
      <c r="N33" s="53">
        <v>2.0</v>
      </c>
      <c r="O33" s="54">
        <v>5.0</v>
      </c>
      <c r="P33" s="55">
        <f>SUM('P105'!$M33:$O33)</f>
        <v>10</v>
      </c>
      <c r="Q33" s="52">
        <v>3.0</v>
      </c>
      <c r="R33" s="53">
        <v>2.0</v>
      </c>
      <c r="S33" s="54">
        <v>4.1</v>
      </c>
      <c r="T33" s="55">
        <f>SUM('P105'!$Q33:$S33)</f>
        <v>9.1</v>
      </c>
      <c r="U33" s="56">
        <f>('P105'!$L33+'P105'!$P33+'P105'!$T33)*'P105'!$F33</f>
        <v>28.77879313</v>
      </c>
      <c r="V33" s="57">
        <v>2.7</v>
      </c>
      <c r="W33" s="57">
        <v>9.3</v>
      </c>
      <c r="X33" s="58">
        <f>SUM('P105'!$V33:$W33)*'P105'!$G33</f>
        <v>12.06045378</v>
      </c>
      <c r="Y33" s="59">
        <v>0.0</v>
      </c>
      <c r="Z33" s="59">
        <v>0.0</v>
      </c>
      <c r="AA33" s="59">
        <v>1.25</v>
      </c>
      <c r="AB33" s="60" t="str">
        <f>IF(SUM('P105'!$Y33:$AA33)&gt;5.9,"SI","NO")</f>
        <v>NO</v>
      </c>
      <c r="AC33" s="61">
        <f>SUM('P105'!$Y33:$AA33)</f>
        <v>1.25</v>
      </c>
      <c r="AD33" s="62">
        <v>1.0</v>
      </c>
      <c r="AE33" s="62">
        <v>4.5</v>
      </c>
      <c r="AF33" s="63" t="str">
        <f>IF('P105'!$AG33&gt;5.9,"SI","NO")</f>
        <v>NO</v>
      </c>
      <c r="AG33" s="64">
        <f>SUM('P105'!$AD33:$AE33)</f>
        <v>5.5</v>
      </c>
      <c r="AH33" s="65">
        <v>2.5</v>
      </c>
      <c r="AI33" s="65">
        <v>2.5</v>
      </c>
      <c r="AJ33" s="66">
        <f>AVERAGE('P105'!$AH33:$AI33)</f>
        <v>2.5</v>
      </c>
      <c r="AK33" s="142">
        <v>0.0</v>
      </c>
      <c r="AL33" s="143">
        <v>0.0</v>
      </c>
      <c r="AM33" s="144">
        <v>0.0</v>
      </c>
      <c r="AN33" s="46">
        <f>(('P105'!$AL33+'P105'!$AM33))*'P105'!$AK33</f>
        <v>0</v>
      </c>
      <c r="AO33" s="70">
        <f t="shared" si="1"/>
        <v>10.01670845</v>
      </c>
      <c r="AP33" s="71">
        <f>SUM('P105'!$U33)</f>
        <v>28.77879313</v>
      </c>
      <c r="AQ33" s="71">
        <f>SUM(AN33,AJ33,AG33,AC33,X33,'P105'!$AO33)</f>
        <v>31.32716223</v>
      </c>
      <c r="AR33" s="247">
        <f>'P105'!$AP33+'P105'!$AQ33</f>
        <v>60.10595536</v>
      </c>
    </row>
    <row r="34" ht="14.25" customHeight="1">
      <c r="A34" s="250" t="s">
        <v>510</v>
      </c>
      <c r="B34" s="103">
        <v>2.02508651E8</v>
      </c>
      <c r="C34" s="103" t="s">
        <v>511</v>
      </c>
      <c r="D34" s="251">
        <v>6.0</v>
      </c>
      <c r="E34" s="49"/>
      <c r="F34" s="252">
        <v>1.34839972</v>
      </c>
      <c r="G34" s="51">
        <v>1.396860592</v>
      </c>
      <c r="H34" s="51">
        <v>1.348399725</v>
      </c>
      <c r="I34" s="52">
        <v>3.0</v>
      </c>
      <c r="J34" s="53">
        <v>2.0</v>
      </c>
      <c r="K34" s="54">
        <v>5.0</v>
      </c>
      <c r="L34" s="55">
        <f>SUM('P105'!$I34:$K34)</f>
        <v>10</v>
      </c>
      <c r="M34" s="52">
        <v>3.0</v>
      </c>
      <c r="N34" s="53">
        <v>2.0</v>
      </c>
      <c r="O34" s="54">
        <v>5.0</v>
      </c>
      <c r="P34" s="55">
        <f>SUM('P105'!$M34:$O34)</f>
        <v>10</v>
      </c>
      <c r="Q34" s="52">
        <v>1.5</v>
      </c>
      <c r="R34" s="53">
        <v>1.25</v>
      </c>
      <c r="S34" s="54">
        <v>0.0</v>
      </c>
      <c r="T34" s="55">
        <f>SUM('P105'!$Q34:$S34)</f>
        <v>2.75</v>
      </c>
      <c r="U34" s="56">
        <f>('P105'!$L34+'P105'!$P34+'P105'!$T34)*'P105'!$F34</f>
        <v>30.67609363</v>
      </c>
      <c r="V34" s="57">
        <v>3.15</v>
      </c>
      <c r="W34" s="57">
        <v>9.1</v>
      </c>
      <c r="X34" s="58">
        <f>SUM('P105'!$V34:$W34)*'P105'!$G34</f>
        <v>17.11154225</v>
      </c>
      <c r="Y34" s="59">
        <v>2.0</v>
      </c>
      <c r="Z34" s="59">
        <v>1.5</v>
      </c>
      <c r="AA34" s="59">
        <v>2.5</v>
      </c>
      <c r="AB34" s="60" t="str">
        <f>IF(SUM('P105'!$Y34:$AA34)&gt;5.9,"SI","NO")</f>
        <v>SI</v>
      </c>
      <c r="AC34" s="61">
        <f>SUM('P105'!$Y34:$AA34)</f>
        <v>6</v>
      </c>
      <c r="AD34" s="62">
        <v>1.8</v>
      </c>
      <c r="AE34" s="62">
        <v>4.2</v>
      </c>
      <c r="AF34" s="63" t="str">
        <f>IF('P105'!$AG34&gt;5.9,"SI","NO")</f>
        <v>SI</v>
      </c>
      <c r="AG34" s="64">
        <f>SUM('P105'!$AD34:$AE34)</f>
        <v>6</v>
      </c>
      <c r="AH34" s="65">
        <v>2.5</v>
      </c>
      <c r="AI34" s="65">
        <v>2.0</v>
      </c>
      <c r="AJ34" s="66">
        <f>AVERAGE('P105'!$AH34:$AI34)</f>
        <v>2.25</v>
      </c>
      <c r="AK34" s="142">
        <v>1.0</v>
      </c>
      <c r="AL34" s="143">
        <v>5.0</v>
      </c>
      <c r="AM34" s="144">
        <v>3.5</v>
      </c>
      <c r="AN34" s="46">
        <f>(('P105'!$AL34+'P105'!$AM34))*'P105'!$AK34</f>
        <v>8.5</v>
      </c>
      <c r="AO34" s="70">
        <f t="shared" si="1"/>
        <v>13.48399725</v>
      </c>
      <c r="AP34" s="71">
        <f>SUM('P105'!$U34)</f>
        <v>30.67609363</v>
      </c>
      <c r="AQ34" s="71">
        <f>SUM(AN34,AJ34,AG34,AC34,X34,'P105'!$AO34)</f>
        <v>53.3455395</v>
      </c>
      <c r="AR34" s="247">
        <f>'P105'!$AP34+'P105'!$AQ34</f>
        <v>84.02163313</v>
      </c>
    </row>
    <row r="35" ht="14.25" customHeight="1">
      <c r="A35" s="250" t="s">
        <v>512</v>
      </c>
      <c r="B35" s="103">
        <v>2.02507901E8</v>
      </c>
      <c r="C35" s="103" t="s">
        <v>513</v>
      </c>
      <c r="D35" s="251">
        <v>7.0</v>
      </c>
      <c r="E35" s="49"/>
      <c r="F35" s="252">
        <v>1.0010015</v>
      </c>
      <c r="G35" s="51">
        <v>1.005037815</v>
      </c>
      <c r="H35" s="51">
        <v>1.001670845</v>
      </c>
      <c r="I35" s="52">
        <v>3.0</v>
      </c>
      <c r="J35" s="53">
        <v>2.0</v>
      </c>
      <c r="K35" s="54">
        <v>4.65</v>
      </c>
      <c r="L35" s="55">
        <f>SUM('P105'!$I35:$K35)</f>
        <v>9.65</v>
      </c>
      <c r="M35" s="52">
        <v>3.0</v>
      </c>
      <c r="N35" s="53">
        <v>2.0</v>
      </c>
      <c r="O35" s="54">
        <v>5.0</v>
      </c>
      <c r="P35" s="55">
        <f>SUM('P105'!$M35:$O35)</f>
        <v>10</v>
      </c>
      <c r="Q35" s="52">
        <v>1.5</v>
      </c>
      <c r="R35" s="53">
        <v>2.0</v>
      </c>
      <c r="S35" s="54">
        <v>4.1</v>
      </c>
      <c r="T35" s="55">
        <f>SUM('P105'!$Q35:$S35)</f>
        <v>7.6</v>
      </c>
      <c r="U35" s="56">
        <f>('P105'!$L35+'P105'!$P35+'P105'!$T35)*'P105'!$F35</f>
        <v>27.27729088</v>
      </c>
      <c r="V35" s="57">
        <v>2.7</v>
      </c>
      <c r="W35" s="57">
        <v>9.3</v>
      </c>
      <c r="X35" s="58">
        <f>SUM('P105'!$V35:$W35)*'P105'!$G35</f>
        <v>12.06045378</v>
      </c>
      <c r="Y35" s="59">
        <v>2.0</v>
      </c>
      <c r="Z35" s="59">
        <v>1.5</v>
      </c>
      <c r="AA35" s="59">
        <v>3.75</v>
      </c>
      <c r="AB35" s="60" t="str">
        <f>IF(SUM('P105'!$Y35:$AA35)&gt;5.9,"SI","NO")</f>
        <v>SI</v>
      </c>
      <c r="AC35" s="61">
        <f>SUM('P105'!$Y35:$AA35)</f>
        <v>7.25</v>
      </c>
      <c r="AD35" s="62">
        <v>1.0</v>
      </c>
      <c r="AE35" s="62">
        <v>4.5</v>
      </c>
      <c r="AF35" s="63" t="str">
        <f>IF('P105'!$AG35&gt;5.9,"SI","NO")</f>
        <v>NO</v>
      </c>
      <c r="AG35" s="64">
        <f>SUM('P105'!$AD35:$AE35)</f>
        <v>5.5</v>
      </c>
      <c r="AH35" s="65">
        <v>2.5</v>
      </c>
      <c r="AI35" s="65">
        <v>2.5</v>
      </c>
      <c r="AJ35" s="66">
        <f>AVERAGE('P105'!$AH35:$AI35)</f>
        <v>2.5</v>
      </c>
      <c r="AK35" s="142">
        <v>0.0</v>
      </c>
      <c r="AL35" s="143">
        <v>0.0</v>
      </c>
      <c r="AM35" s="144">
        <v>0.0</v>
      </c>
      <c r="AN35" s="46">
        <f>(('P105'!$AL35+'P105'!$AM35))*'P105'!$AK35</f>
        <v>0</v>
      </c>
      <c r="AO35" s="70">
        <f t="shared" si="1"/>
        <v>10.01670845</v>
      </c>
      <c r="AP35" s="71">
        <f>SUM('P105'!$U35)</f>
        <v>27.27729088</v>
      </c>
      <c r="AQ35" s="71">
        <f>SUM(AN35,AJ35,AG35,AC35,X35,'P105'!$AO35)</f>
        <v>37.32716223</v>
      </c>
      <c r="AR35" s="247">
        <f>'P105'!$AP35+'P105'!$AQ35</f>
        <v>64.60445311</v>
      </c>
    </row>
    <row r="36" ht="14.25" customHeight="1">
      <c r="A36" s="250" t="s">
        <v>514</v>
      </c>
      <c r="B36" s="103">
        <v>2.02508818E8</v>
      </c>
      <c r="C36" s="103" t="s">
        <v>515</v>
      </c>
      <c r="D36" s="251">
        <v>8.0</v>
      </c>
      <c r="E36" s="49"/>
      <c r="F36" s="252">
        <v>1.08253175</v>
      </c>
      <c r="G36" s="51">
        <v>1.088214375</v>
      </c>
      <c r="H36" s="51">
        <v>1.04864501</v>
      </c>
      <c r="I36" s="52">
        <v>3.0</v>
      </c>
      <c r="J36" s="53">
        <v>2.0</v>
      </c>
      <c r="K36" s="54">
        <v>5.0</v>
      </c>
      <c r="L36" s="55">
        <f>SUM('P105'!$I36:$K36)</f>
        <v>10</v>
      </c>
      <c r="M36" s="52">
        <v>3.0</v>
      </c>
      <c r="N36" s="53">
        <v>2.0</v>
      </c>
      <c r="O36" s="54">
        <v>5.0</v>
      </c>
      <c r="P36" s="55">
        <f>SUM('P105'!$M36:$O36)</f>
        <v>10</v>
      </c>
      <c r="Q36" s="52">
        <v>1.5</v>
      </c>
      <c r="R36" s="53">
        <v>1.25</v>
      </c>
      <c r="S36" s="54">
        <v>4.7</v>
      </c>
      <c r="T36" s="55">
        <f>SUM('P105'!$Q36:$S36)</f>
        <v>7.45</v>
      </c>
      <c r="U36" s="56">
        <f>('P105'!$L36+'P105'!$P36+'P105'!$T36)*'P105'!$F36</f>
        <v>29.71549654</v>
      </c>
      <c r="V36" s="57">
        <v>2.9</v>
      </c>
      <c r="W36" s="57">
        <v>9.8</v>
      </c>
      <c r="X36" s="58">
        <f>SUM('P105'!$V36:$W36)*'P105'!$G36</f>
        <v>13.82032256</v>
      </c>
      <c r="Y36" s="59">
        <v>2.0</v>
      </c>
      <c r="Z36" s="59">
        <v>1.5</v>
      </c>
      <c r="AA36" s="59">
        <v>2.5</v>
      </c>
      <c r="AB36" s="60" t="str">
        <f>IF(SUM('P105'!$Y36:$AA36)&gt;5.9,"SI","NO")</f>
        <v>SI</v>
      </c>
      <c r="AC36" s="61">
        <f>SUM('P105'!$Y36:$AA36)</f>
        <v>6</v>
      </c>
      <c r="AD36" s="62">
        <v>1.8</v>
      </c>
      <c r="AE36" s="62">
        <v>5.2</v>
      </c>
      <c r="AF36" s="63" t="str">
        <f>IF('P105'!$AG36&gt;5.9,"SI","NO")</f>
        <v>SI</v>
      </c>
      <c r="AG36" s="64">
        <f>SUM('P105'!$AD36:$AE36)</f>
        <v>7</v>
      </c>
      <c r="AH36" s="65">
        <v>2.5</v>
      </c>
      <c r="AI36" s="65">
        <v>2.5</v>
      </c>
      <c r="AJ36" s="66">
        <f>AVERAGE('P105'!$AH36:$AI36)</f>
        <v>2.5</v>
      </c>
      <c r="AK36" s="142">
        <v>1.0</v>
      </c>
      <c r="AL36" s="143">
        <v>0.0</v>
      </c>
      <c r="AM36" s="144">
        <v>0.0</v>
      </c>
      <c r="AN36" s="46">
        <f>(('P105'!$AL36+'P105'!$AM36))*'P105'!$AK36</f>
        <v>0</v>
      </c>
      <c r="AO36" s="70">
        <f t="shared" si="1"/>
        <v>10.4864501</v>
      </c>
      <c r="AP36" s="71">
        <f>SUM('P105'!$U36)</f>
        <v>29.71549654</v>
      </c>
      <c r="AQ36" s="71">
        <f>SUM(AN36,AJ36,AG36,AC36,X36,'P105'!$AO36)</f>
        <v>39.80677266</v>
      </c>
      <c r="AR36" s="247">
        <f>'P105'!$AP36+'P105'!$AQ36</f>
        <v>69.5222692</v>
      </c>
    </row>
    <row r="37" ht="14.25" customHeight="1">
      <c r="A37" s="250" t="s">
        <v>516</v>
      </c>
      <c r="B37" s="103">
        <v>2.02310041E8</v>
      </c>
      <c r="C37" s="103" t="s">
        <v>517</v>
      </c>
      <c r="D37" s="251">
        <v>9.0</v>
      </c>
      <c r="E37" s="49"/>
      <c r="F37" s="252">
        <v>0.99899143</v>
      </c>
      <c r="G37" s="51">
        <v>0.981980506</v>
      </c>
      <c r="H37" s="51">
        <v>0.99141615</v>
      </c>
      <c r="I37" s="52">
        <v>3.0</v>
      </c>
      <c r="J37" s="53">
        <v>2.0</v>
      </c>
      <c r="K37" s="54">
        <v>5.0</v>
      </c>
      <c r="L37" s="55">
        <f>SUM('P105'!$I37:$K37)</f>
        <v>10</v>
      </c>
      <c r="M37" s="52">
        <v>3.0</v>
      </c>
      <c r="N37" s="53">
        <v>2.0</v>
      </c>
      <c r="O37" s="54">
        <v>5.0</v>
      </c>
      <c r="P37" s="55">
        <f>SUM('P105'!$M37:$O37)</f>
        <v>10</v>
      </c>
      <c r="Q37" s="52">
        <v>0.75</v>
      </c>
      <c r="R37" s="53">
        <v>2.0</v>
      </c>
      <c r="S37" s="54">
        <v>4.2</v>
      </c>
      <c r="T37" s="55">
        <f>SUM('P105'!$Q37:$S37)</f>
        <v>6.95</v>
      </c>
      <c r="U37" s="56">
        <f>('P105'!$L37+'P105'!$P37+'P105'!$T37)*'P105'!$F37</f>
        <v>26.92281904</v>
      </c>
      <c r="V37" s="57">
        <v>3.0</v>
      </c>
      <c r="W37" s="57">
        <v>8.3</v>
      </c>
      <c r="X37" s="58">
        <f>SUM('P105'!$V37:$W37)*'P105'!$G37</f>
        <v>11.09637972</v>
      </c>
      <c r="Y37" s="59">
        <v>1.5</v>
      </c>
      <c r="Z37" s="59">
        <v>0.0</v>
      </c>
      <c r="AA37" s="59">
        <v>1.25</v>
      </c>
      <c r="AB37" s="60" t="str">
        <f>IF(SUM('P105'!$Y37:$AA37)&gt;5.9,"SI","NO")</f>
        <v>NO</v>
      </c>
      <c r="AC37" s="61">
        <f>SUM('P105'!$Y37:$AA37)</f>
        <v>2.75</v>
      </c>
      <c r="AD37" s="62">
        <v>1.0</v>
      </c>
      <c r="AE37" s="62">
        <v>4.0</v>
      </c>
      <c r="AF37" s="63" t="str">
        <f>IF('P105'!$AG37&gt;5.9,"SI","NO")</f>
        <v>NO</v>
      </c>
      <c r="AG37" s="64">
        <f>SUM('P105'!$AD37:$AE37)</f>
        <v>5</v>
      </c>
      <c r="AH37" s="65">
        <v>2.5</v>
      </c>
      <c r="AI37" s="65">
        <v>2.5</v>
      </c>
      <c r="AJ37" s="66">
        <f>AVERAGE('P105'!$AH37:$AI37)</f>
        <v>2.5</v>
      </c>
      <c r="AK37" s="142">
        <v>0.0</v>
      </c>
      <c r="AL37" s="143">
        <v>0.0</v>
      </c>
      <c r="AM37" s="144">
        <v>0.0</v>
      </c>
      <c r="AN37" s="46">
        <f>(('P105'!$AL37+'P105'!$AM37))*'P105'!$AK37</f>
        <v>0</v>
      </c>
      <c r="AO37" s="70">
        <f t="shared" si="1"/>
        <v>9.9141615</v>
      </c>
      <c r="AP37" s="71">
        <f>SUM('P105'!$U37)</f>
        <v>26.92281904</v>
      </c>
      <c r="AQ37" s="71">
        <f>SUM(AN37,AJ37,AG37,AC37,X37,'P105'!$AO37)</f>
        <v>31.26054122</v>
      </c>
      <c r="AR37" s="247">
        <f>'P105'!$AP37+'P105'!$AQ37</f>
        <v>58.18336026</v>
      </c>
    </row>
    <row r="38" ht="14.25" customHeight="1">
      <c r="A38" s="250" t="s">
        <v>518</v>
      </c>
      <c r="B38" s="103">
        <v>2.02106266E8</v>
      </c>
      <c r="C38" s="103" t="s">
        <v>519</v>
      </c>
      <c r="D38" s="251">
        <v>2.0</v>
      </c>
      <c r="E38" s="49"/>
      <c r="F38" s="252">
        <v>1.01273937</v>
      </c>
      <c r="G38" s="51">
        <v>1.028354956</v>
      </c>
      <c r="H38" s="51">
        <v>1.010152545</v>
      </c>
      <c r="I38" s="52">
        <v>3.0</v>
      </c>
      <c r="J38" s="53">
        <v>1.75</v>
      </c>
      <c r="K38" s="54">
        <v>4.9</v>
      </c>
      <c r="L38" s="55">
        <f>SUM('P105'!$I38:$K38)</f>
        <v>9.65</v>
      </c>
      <c r="M38" s="52">
        <v>3.0</v>
      </c>
      <c r="N38" s="53">
        <v>2.0</v>
      </c>
      <c r="O38" s="54">
        <v>5.0</v>
      </c>
      <c r="P38" s="55">
        <f>SUM('P105'!$M38:$O38)</f>
        <v>10</v>
      </c>
      <c r="Q38" s="52">
        <v>0.75</v>
      </c>
      <c r="R38" s="53">
        <v>2.0</v>
      </c>
      <c r="S38" s="54">
        <v>0.0</v>
      </c>
      <c r="T38" s="55">
        <f>SUM('P105'!$Q38:$S38)</f>
        <v>2.75</v>
      </c>
      <c r="U38" s="56">
        <f>('P105'!$L38+'P105'!$P38+'P105'!$T38)*'P105'!$F38</f>
        <v>22.68536189</v>
      </c>
      <c r="V38" s="57">
        <v>5.0</v>
      </c>
      <c r="W38" s="57">
        <v>9.8</v>
      </c>
      <c r="X38" s="58">
        <f>SUM('P105'!$V38:$W38)*'P105'!$G38</f>
        <v>15.21965335</v>
      </c>
      <c r="Y38" s="59">
        <v>1.5</v>
      </c>
      <c r="Z38" s="59">
        <v>0.0</v>
      </c>
      <c r="AA38" s="59">
        <v>2.5</v>
      </c>
      <c r="AB38" s="60" t="str">
        <f>IF(SUM('P105'!$Y38:$AA38)&gt;5.9,"SI","NO")</f>
        <v>NO</v>
      </c>
      <c r="AC38" s="61">
        <f>SUM('P105'!$Y38:$AA38)</f>
        <v>4</v>
      </c>
      <c r="AD38" s="62">
        <v>1.0</v>
      </c>
      <c r="AE38" s="62">
        <v>5.0</v>
      </c>
      <c r="AF38" s="63" t="str">
        <f>IF('P105'!$AG38&gt;5.9,"SI","NO")</f>
        <v>SI</v>
      </c>
      <c r="AG38" s="64">
        <f>SUM('P105'!$AD38:$AE38)</f>
        <v>6</v>
      </c>
      <c r="AH38" s="65">
        <v>4.0</v>
      </c>
      <c r="AI38" s="65">
        <v>4.0</v>
      </c>
      <c r="AJ38" s="66">
        <f>AVERAGE('P105'!$AH38:$AI38)</f>
        <v>4</v>
      </c>
      <c r="AK38" s="142">
        <v>1.0</v>
      </c>
      <c r="AL38" s="143">
        <v>8.0</v>
      </c>
      <c r="AM38" s="144">
        <v>8.0</v>
      </c>
      <c r="AN38" s="46">
        <f>(('P105'!$AL38+'P105'!$AM38))*'P105'!$AK38</f>
        <v>16</v>
      </c>
      <c r="AO38" s="70">
        <f t="shared" si="1"/>
        <v>10.10152545</v>
      </c>
      <c r="AP38" s="71">
        <f>SUM('P105'!$U38)</f>
        <v>22.68536189</v>
      </c>
      <c r="AQ38" s="71">
        <f>SUM(AN38,AJ38,AG38,AC38,X38,'P105'!$AO38)</f>
        <v>55.3211788</v>
      </c>
      <c r="AR38" s="247">
        <f>'P105'!$AP38+'P105'!$AQ38</f>
        <v>78.00654069</v>
      </c>
    </row>
    <row r="39" ht="14.25" customHeight="1">
      <c r="A39" s="250" t="s">
        <v>520</v>
      </c>
      <c r="B39" s="103">
        <v>2.02410767E8</v>
      </c>
      <c r="C39" s="103" t="s">
        <v>521</v>
      </c>
      <c r="D39" s="251">
        <v>9.0</v>
      </c>
      <c r="E39" s="49"/>
      <c r="F39" s="252">
        <v>0.99393321</v>
      </c>
      <c r="G39" s="51">
        <v>1.017700489</v>
      </c>
      <c r="H39" s="51">
        <v>1.012739367</v>
      </c>
      <c r="I39" s="52">
        <v>3.0</v>
      </c>
      <c r="J39" s="53">
        <v>2.0</v>
      </c>
      <c r="K39" s="54">
        <v>5.0</v>
      </c>
      <c r="L39" s="55">
        <f>SUM('P105'!$I39:$K39)</f>
        <v>10</v>
      </c>
      <c r="M39" s="52">
        <v>3.0</v>
      </c>
      <c r="N39" s="53">
        <v>2.0</v>
      </c>
      <c r="O39" s="54">
        <v>5.0</v>
      </c>
      <c r="P39" s="55">
        <f>SUM('P105'!$M39:$O39)</f>
        <v>10</v>
      </c>
      <c r="Q39" s="52">
        <v>0.75</v>
      </c>
      <c r="R39" s="53">
        <v>2.0</v>
      </c>
      <c r="S39" s="54">
        <v>4.2</v>
      </c>
      <c r="T39" s="55">
        <f>SUM('P105'!$Q39:$S39)</f>
        <v>6.95</v>
      </c>
      <c r="U39" s="56">
        <f>('P105'!$L39+'P105'!$P39+'P105'!$T39)*'P105'!$F39</f>
        <v>26.78650001</v>
      </c>
      <c r="V39" s="57">
        <v>3.0</v>
      </c>
      <c r="W39" s="57">
        <v>8.3</v>
      </c>
      <c r="X39" s="58">
        <f>SUM('P105'!$V39:$W39)*'P105'!$G39</f>
        <v>11.50001553</v>
      </c>
      <c r="Y39" s="59">
        <v>0.0</v>
      </c>
      <c r="Z39" s="59">
        <v>0.0</v>
      </c>
      <c r="AA39" s="59">
        <v>0.0</v>
      </c>
      <c r="AB39" s="60" t="str">
        <f>IF(SUM('P105'!$Y39:$AA39)&gt;5.9,"SI","NO")</f>
        <v>NO</v>
      </c>
      <c r="AC39" s="61">
        <f>SUM('P105'!$Y39:$AA39)</f>
        <v>0</v>
      </c>
      <c r="AD39" s="62">
        <v>1.0</v>
      </c>
      <c r="AE39" s="62">
        <v>4.0</v>
      </c>
      <c r="AF39" s="63" t="str">
        <f>IF('P105'!$AG39&gt;5.9,"SI","NO")</f>
        <v>NO</v>
      </c>
      <c r="AG39" s="64">
        <f>SUM('P105'!$AD39:$AE39)</f>
        <v>5</v>
      </c>
      <c r="AH39" s="65">
        <v>2.5</v>
      </c>
      <c r="AI39" s="65">
        <v>2.5</v>
      </c>
      <c r="AJ39" s="66">
        <f>AVERAGE('P105'!$AH39:$AI39)</f>
        <v>2.5</v>
      </c>
      <c r="AK39" s="142">
        <v>0.0</v>
      </c>
      <c r="AL39" s="143">
        <v>0.0</v>
      </c>
      <c r="AM39" s="144">
        <v>0.0</v>
      </c>
      <c r="AN39" s="46">
        <f>(('P105'!$AL39+'P105'!$AM39))*'P105'!$AK39</f>
        <v>0</v>
      </c>
      <c r="AO39" s="70">
        <f t="shared" si="1"/>
        <v>10.12739367</v>
      </c>
      <c r="AP39" s="71">
        <f>SUM('P105'!$U39)</f>
        <v>26.78650001</v>
      </c>
      <c r="AQ39" s="71">
        <f>SUM(AN39,AJ39,AG39,AC39,X39,'P105'!$AO39)</f>
        <v>29.1274092</v>
      </c>
      <c r="AR39" s="247">
        <f>'P105'!$AP39+'P105'!$AQ39</f>
        <v>55.91390921</v>
      </c>
    </row>
    <row r="40" ht="14.25" customHeight="1">
      <c r="A40" s="250" t="s">
        <v>522</v>
      </c>
      <c r="B40" s="103">
        <v>2.02508735E8</v>
      </c>
      <c r="C40" s="103" t="s">
        <v>523</v>
      </c>
      <c r="D40" s="251">
        <v>2.0</v>
      </c>
      <c r="E40" s="49"/>
      <c r="F40" s="252">
        <v>1.01273937</v>
      </c>
      <c r="G40" s="51">
        <v>1.055069923</v>
      </c>
      <c r="H40" s="51">
        <v>1.010152545</v>
      </c>
      <c r="I40" s="52">
        <v>2.25</v>
      </c>
      <c r="J40" s="53">
        <v>1.75</v>
      </c>
      <c r="K40" s="54">
        <v>4.9</v>
      </c>
      <c r="L40" s="55">
        <f>SUM('P105'!$I40:$K40)</f>
        <v>8.9</v>
      </c>
      <c r="M40" s="52">
        <v>3.0</v>
      </c>
      <c r="N40" s="53">
        <v>2.0</v>
      </c>
      <c r="O40" s="54">
        <v>5.0</v>
      </c>
      <c r="P40" s="55">
        <f>SUM('P105'!$M40:$O40)</f>
        <v>10</v>
      </c>
      <c r="Q40" s="52">
        <v>2.25</v>
      </c>
      <c r="R40" s="53">
        <v>2.0</v>
      </c>
      <c r="S40" s="54">
        <v>4.7</v>
      </c>
      <c r="T40" s="55">
        <f>SUM('P105'!$Q40:$S40)</f>
        <v>8.95</v>
      </c>
      <c r="U40" s="56">
        <f>('P105'!$L40+'P105'!$P40+'P105'!$T40)*'P105'!$F40</f>
        <v>28.20479145</v>
      </c>
      <c r="V40" s="57">
        <v>5.0</v>
      </c>
      <c r="W40" s="57">
        <v>9.8</v>
      </c>
      <c r="X40" s="58">
        <f>SUM('P105'!$V40:$W40)*'P105'!$G40</f>
        <v>15.61503486</v>
      </c>
      <c r="Y40" s="59">
        <v>2.0</v>
      </c>
      <c r="Z40" s="59">
        <v>1.5</v>
      </c>
      <c r="AA40" s="59">
        <v>3.75</v>
      </c>
      <c r="AB40" s="60" t="str">
        <f>IF(SUM('P105'!$Y40:$AA40)&gt;5.9,"SI","NO")</f>
        <v>SI</v>
      </c>
      <c r="AC40" s="61">
        <f>SUM('P105'!$Y40:$AA40)</f>
        <v>7.25</v>
      </c>
      <c r="AD40" s="62">
        <v>1.0</v>
      </c>
      <c r="AE40" s="62">
        <v>5.0</v>
      </c>
      <c r="AF40" s="63" t="str">
        <f>IF('P105'!$AG40&gt;5.9,"SI","NO")</f>
        <v>SI</v>
      </c>
      <c r="AG40" s="64">
        <f>SUM('P105'!$AD40:$AE40)</f>
        <v>6</v>
      </c>
      <c r="AH40" s="65">
        <v>4.0</v>
      </c>
      <c r="AI40" s="65">
        <v>4.0</v>
      </c>
      <c r="AJ40" s="66">
        <f>AVERAGE('P105'!$AH40:$AI40)</f>
        <v>4</v>
      </c>
      <c r="AK40" s="142">
        <v>1.0</v>
      </c>
      <c r="AL40" s="143">
        <v>9.0</v>
      </c>
      <c r="AM40" s="144">
        <v>9.0</v>
      </c>
      <c r="AN40" s="46">
        <f>(('P105'!$AL40+'P105'!$AM40))*'P105'!$AK40</f>
        <v>18</v>
      </c>
      <c r="AO40" s="70">
        <f t="shared" si="1"/>
        <v>10.10152545</v>
      </c>
      <c r="AP40" s="71">
        <f>SUM('P105'!$U40)</f>
        <v>28.20479145</v>
      </c>
      <c r="AQ40" s="71">
        <f>SUM(AN40,AJ40,AG40,AC40,X40,'P105'!$AO40)</f>
        <v>60.96656031</v>
      </c>
      <c r="AR40" s="247">
        <f>'P105'!$AP40+'P105'!$AQ40</f>
        <v>89.17135176</v>
      </c>
    </row>
    <row r="41" ht="14.25" customHeight="1">
      <c r="A41" s="250" t="s">
        <v>524</v>
      </c>
      <c r="B41" s="103">
        <v>2.02413548E8</v>
      </c>
      <c r="C41" s="103" t="s">
        <v>525</v>
      </c>
      <c r="D41" s="251">
        <v>1.0</v>
      </c>
      <c r="E41" s="49"/>
      <c r="F41" s="252">
        <v>1.02597835</v>
      </c>
      <c r="G41" s="51">
        <v>1.00282088</v>
      </c>
      <c r="H41" s="51">
        <v>1.001391789</v>
      </c>
      <c r="I41" s="52">
        <v>2.25</v>
      </c>
      <c r="J41" s="53">
        <v>2.0</v>
      </c>
      <c r="K41" s="54">
        <v>3.3</v>
      </c>
      <c r="L41" s="55">
        <f>SUM('P105'!$I41:$K41)</f>
        <v>7.55</v>
      </c>
      <c r="M41" s="52">
        <v>3.0</v>
      </c>
      <c r="N41" s="53">
        <v>2.0</v>
      </c>
      <c r="O41" s="54">
        <v>5.0</v>
      </c>
      <c r="P41" s="55">
        <f>SUM('P105'!$M41:$O41)</f>
        <v>10</v>
      </c>
      <c r="Q41" s="52">
        <v>0.75</v>
      </c>
      <c r="R41" s="53">
        <v>0.0</v>
      </c>
      <c r="S41" s="54">
        <v>0.0</v>
      </c>
      <c r="T41" s="55">
        <f>SUM('P105'!$Q41:$S41)</f>
        <v>0.75</v>
      </c>
      <c r="U41" s="56">
        <f>('P105'!$L41+'P105'!$P41+'P105'!$T41)*'P105'!$F41</f>
        <v>18.77540381</v>
      </c>
      <c r="V41" s="57">
        <v>4.3</v>
      </c>
      <c r="W41" s="57">
        <v>6.6</v>
      </c>
      <c r="X41" s="58">
        <f>SUM('P105'!$V41:$W41)*'P105'!$G41</f>
        <v>10.93074759</v>
      </c>
      <c r="Y41" s="59">
        <v>2.0</v>
      </c>
      <c r="Z41" s="59">
        <v>0.0</v>
      </c>
      <c r="AA41" s="59">
        <v>1.25</v>
      </c>
      <c r="AB41" s="60" t="str">
        <f>IF(SUM('P105'!$Y41:$AA41)&gt;5.9,"SI","NO")</f>
        <v>NO</v>
      </c>
      <c r="AC41" s="61">
        <f>SUM('P105'!$Y41:$AA41)</f>
        <v>3.25</v>
      </c>
      <c r="AD41" s="62">
        <v>0.0</v>
      </c>
      <c r="AE41" s="62">
        <v>0.0</v>
      </c>
      <c r="AF41" s="63" t="str">
        <f>IF('P105'!$AG41&gt;5.9,"SI","NO")</f>
        <v>NO</v>
      </c>
      <c r="AG41" s="64">
        <f>SUM('P105'!$AD41:$AE41)</f>
        <v>0</v>
      </c>
      <c r="AH41" s="141">
        <f>IF('P105'!$AF41="NO",0," ")</f>
        <v>0</v>
      </c>
      <c r="AI41" s="141">
        <f>IF('P105'!$AF41="NO",0," ")</f>
        <v>0</v>
      </c>
      <c r="AJ41" s="66">
        <f>AVERAGE('P105'!$AH41:$AI41)</f>
        <v>0</v>
      </c>
      <c r="AK41" s="142">
        <v>0.0</v>
      </c>
      <c r="AL41" s="143">
        <v>0.0</v>
      </c>
      <c r="AM41" s="144">
        <v>0.0</v>
      </c>
      <c r="AN41" s="46">
        <f>(('P105'!$AL41+'P105'!$AM41))*'P105'!$AK41</f>
        <v>0</v>
      </c>
      <c r="AO41" s="70">
        <f t="shared" si="1"/>
        <v>10.01391789</v>
      </c>
      <c r="AP41" s="71">
        <f>SUM('P105'!$U41)</f>
        <v>18.77540381</v>
      </c>
      <c r="AQ41" s="71">
        <f>SUM(AN41,AJ41,AG41,AC41,X41,'P105'!$AO41)</f>
        <v>24.19466548</v>
      </c>
      <c r="AR41" s="247">
        <f>'P105'!$AP41+'P105'!$AQ41</f>
        <v>42.97006929</v>
      </c>
    </row>
    <row r="42" ht="14.25" customHeight="1">
      <c r="A42" s="250" t="s">
        <v>526</v>
      </c>
      <c r="B42" s="103">
        <v>2.02312013E8</v>
      </c>
      <c r="C42" s="103" t="s">
        <v>527</v>
      </c>
      <c r="D42" s="251">
        <v>10.0</v>
      </c>
      <c r="E42" s="49"/>
      <c r="F42" s="252">
        <v>1.02844169</v>
      </c>
      <c r="G42" s="51">
        <v>0.995565388</v>
      </c>
      <c r="H42" s="51">
        <v>0.978297598</v>
      </c>
      <c r="I42" s="52">
        <v>1.5</v>
      </c>
      <c r="J42" s="53">
        <v>0.0</v>
      </c>
      <c r="K42" s="54">
        <v>0.0</v>
      </c>
      <c r="L42" s="55">
        <f>SUM('P105'!$I42:$K42)</f>
        <v>1.5</v>
      </c>
      <c r="M42" s="52">
        <v>3.0</v>
      </c>
      <c r="N42" s="53">
        <v>2.0</v>
      </c>
      <c r="O42" s="54">
        <v>5.0</v>
      </c>
      <c r="P42" s="55">
        <f>SUM('P105'!$M42:$O42)</f>
        <v>10</v>
      </c>
      <c r="Q42" s="52">
        <v>2.25</v>
      </c>
      <c r="R42" s="53">
        <v>1.5</v>
      </c>
      <c r="S42" s="54">
        <v>4.4</v>
      </c>
      <c r="T42" s="55">
        <f>SUM('P105'!$Q42:$S42)</f>
        <v>8.15</v>
      </c>
      <c r="U42" s="56">
        <f>('P105'!$L42+'P105'!$P42+'P105'!$T42)*'P105'!$F42</f>
        <v>20.20887921</v>
      </c>
      <c r="V42" s="57">
        <v>2.65</v>
      </c>
      <c r="W42" s="57">
        <v>9.6</v>
      </c>
      <c r="X42" s="58">
        <f>SUM('P105'!$V42:$W42)*'P105'!$G42</f>
        <v>12.195676</v>
      </c>
      <c r="Y42" s="59">
        <v>2.0</v>
      </c>
      <c r="Z42" s="59">
        <v>1.5</v>
      </c>
      <c r="AA42" s="59">
        <v>0.0</v>
      </c>
      <c r="AB42" s="60" t="str">
        <f>IF(SUM('P105'!$Y42:$AA42)&gt;5.9,"SI","NO")</f>
        <v>NO</v>
      </c>
      <c r="AC42" s="61">
        <f>SUM('P105'!$Y42:$AA42)</f>
        <v>3.5</v>
      </c>
      <c r="AD42" s="62">
        <v>1.9</v>
      </c>
      <c r="AE42" s="62">
        <v>6.1</v>
      </c>
      <c r="AF42" s="63" t="str">
        <f>IF('P105'!$AG42&gt;5.9,"SI","NO")</f>
        <v>SI</v>
      </c>
      <c r="AG42" s="64">
        <f>SUM('P105'!$AD42:$AE42)</f>
        <v>8</v>
      </c>
      <c r="AH42" s="65">
        <v>3.0</v>
      </c>
      <c r="AI42" s="65">
        <v>1.5</v>
      </c>
      <c r="AJ42" s="66">
        <f>AVERAGE('P105'!$AH42:$AI42)</f>
        <v>2.25</v>
      </c>
      <c r="AK42" s="142">
        <v>1.0</v>
      </c>
      <c r="AL42" s="143">
        <v>0.0</v>
      </c>
      <c r="AM42" s="144">
        <v>0.0</v>
      </c>
      <c r="AN42" s="46">
        <f>(('P105'!$AL42+'P105'!$AM42))*'P105'!$AK42</f>
        <v>0</v>
      </c>
      <c r="AO42" s="70">
        <f t="shared" si="1"/>
        <v>9.78297598</v>
      </c>
      <c r="AP42" s="71">
        <f>SUM('P105'!$U42)</f>
        <v>20.20887921</v>
      </c>
      <c r="AQ42" s="71">
        <f>SUM(AN42,AJ42,AG42,AC42,X42,'P105'!$AO42)</f>
        <v>35.72865198</v>
      </c>
      <c r="AR42" s="247">
        <f>'P105'!$AP42+'P105'!$AQ42</f>
        <v>55.93753119</v>
      </c>
    </row>
    <row r="43" ht="14.25" customHeight="1">
      <c r="A43" s="250" t="s">
        <v>528</v>
      </c>
      <c r="B43" s="103">
        <v>2.02504916E8</v>
      </c>
      <c r="C43" s="103" t="s">
        <v>529</v>
      </c>
      <c r="D43" s="251">
        <v>7.0</v>
      </c>
      <c r="E43" s="49"/>
      <c r="F43" s="252">
        <v>0.99598392</v>
      </c>
      <c r="G43" s="51">
        <v>1.000841397</v>
      </c>
      <c r="H43" s="51">
        <v>0.997488485</v>
      </c>
      <c r="I43" s="52">
        <v>3.0</v>
      </c>
      <c r="J43" s="53">
        <v>2.0</v>
      </c>
      <c r="K43" s="54">
        <v>4.65</v>
      </c>
      <c r="L43" s="55">
        <f>SUM('P105'!$I43:$K43)</f>
        <v>9.65</v>
      </c>
      <c r="M43" s="52">
        <v>3.0</v>
      </c>
      <c r="N43" s="53">
        <v>2.0</v>
      </c>
      <c r="O43" s="54">
        <v>5.0</v>
      </c>
      <c r="P43" s="55">
        <f>SUM('P105'!$M43:$O43)</f>
        <v>10</v>
      </c>
      <c r="Q43" s="52">
        <v>0.75</v>
      </c>
      <c r="R43" s="53">
        <v>2.0</v>
      </c>
      <c r="S43" s="54">
        <v>4.1</v>
      </c>
      <c r="T43" s="55">
        <f>SUM('P105'!$Q43:$S43)</f>
        <v>6.85</v>
      </c>
      <c r="U43" s="56">
        <f>('P105'!$L43+'P105'!$P43+'P105'!$T43)*'P105'!$F43</f>
        <v>26.39357388</v>
      </c>
      <c r="V43" s="57">
        <v>2.7</v>
      </c>
      <c r="W43" s="57">
        <v>9.3</v>
      </c>
      <c r="X43" s="58">
        <f>SUM('P105'!$V43:$W43)*'P105'!$G43</f>
        <v>12.01009676</v>
      </c>
      <c r="Y43" s="59">
        <v>1.5</v>
      </c>
      <c r="Z43" s="59">
        <v>0.0</v>
      </c>
      <c r="AA43" s="59">
        <v>0.0</v>
      </c>
      <c r="AB43" s="60" t="str">
        <f>IF(SUM('P105'!$Y43:$AA43)&gt;5.9,"SI","NO")</f>
        <v>NO</v>
      </c>
      <c r="AC43" s="61">
        <f>SUM('P105'!$Y43:$AA43)</f>
        <v>1.5</v>
      </c>
      <c r="AD43" s="62">
        <v>1.0</v>
      </c>
      <c r="AE43" s="62">
        <v>4.5</v>
      </c>
      <c r="AF43" s="63" t="str">
        <f>IF('P105'!$AG43&gt;5.9,"SI","NO")</f>
        <v>NO</v>
      </c>
      <c r="AG43" s="64">
        <f>SUM('P105'!$AD43:$AE43)</f>
        <v>5.5</v>
      </c>
      <c r="AH43" s="65">
        <v>2.5</v>
      </c>
      <c r="AI43" s="65">
        <v>2.5</v>
      </c>
      <c r="AJ43" s="66">
        <f>AVERAGE('P105'!$AH43:$AI43)</f>
        <v>2.5</v>
      </c>
      <c r="AK43" s="142">
        <v>0.0</v>
      </c>
      <c r="AL43" s="143">
        <v>0.0</v>
      </c>
      <c r="AM43" s="144">
        <v>0.0</v>
      </c>
      <c r="AN43" s="46">
        <f>(('P105'!$AL43+'P105'!$AM43))*'P105'!$AK43</f>
        <v>0</v>
      </c>
      <c r="AO43" s="70">
        <f t="shared" si="1"/>
        <v>9.97488485</v>
      </c>
      <c r="AP43" s="71">
        <f>SUM('P105'!$U43)</f>
        <v>26.39357388</v>
      </c>
      <c r="AQ43" s="71">
        <f>SUM(AN43,AJ43,AG43,AC43,X43,'P105'!$AO43)</f>
        <v>31.48498161</v>
      </c>
      <c r="AR43" s="247">
        <f>'P105'!$AP43+'P105'!$AQ43</f>
        <v>57.87855549</v>
      </c>
    </row>
    <row r="44" ht="14.25" customHeight="1">
      <c r="A44" s="250" t="s">
        <v>530</v>
      </c>
      <c r="B44" s="103">
        <v>2.02509055E8</v>
      </c>
      <c r="C44" s="103" t="s">
        <v>531</v>
      </c>
      <c r="D44" s="251">
        <v>10.0</v>
      </c>
      <c r="E44" s="49"/>
      <c r="F44" s="252">
        <v>1.00745087</v>
      </c>
      <c r="G44" s="51">
        <v>1.017545198</v>
      </c>
      <c r="H44" s="51">
        <v>1.009791066</v>
      </c>
      <c r="I44" s="52">
        <v>2.25</v>
      </c>
      <c r="J44" s="53">
        <v>2.0</v>
      </c>
      <c r="K44" s="54">
        <v>4.9</v>
      </c>
      <c r="L44" s="55">
        <f>SUM('P105'!$I44:$K44)</f>
        <v>9.15</v>
      </c>
      <c r="M44" s="52">
        <v>3.0</v>
      </c>
      <c r="N44" s="53">
        <v>2.0</v>
      </c>
      <c r="O44" s="54">
        <v>5.0</v>
      </c>
      <c r="P44" s="55">
        <f>SUM('P105'!$M44:$O44)</f>
        <v>10</v>
      </c>
      <c r="Q44" s="52">
        <v>1.83</v>
      </c>
      <c r="R44" s="53">
        <v>1.5</v>
      </c>
      <c r="S44" s="54">
        <v>4.4</v>
      </c>
      <c r="T44" s="55">
        <f>SUM('P105'!$Q44:$S44)</f>
        <v>7.73</v>
      </c>
      <c r="U44" s="56">
        <f>('P105'!$L44+'P105'!$P44+'P105'!$T44)*'P105'!$F44</f>
        <v>27.08027939</v>
      </c>
      <c r="V44" s="57">
        <v>2.65</v>
      </c>
      <c r="W44" s="57">
        <v>9.6</v>
      </c>
      <c r="X44" s="58">
        <f>SUM('P105'!$V44:$W44)*'P105'!$G44</f>
        <v>12.46492868</v>
      </c>
      <c r="Y44" s="59">
        <v>1.5</v>
      </c>
      <c r="Z44" s="59">
        <v>1.5</v>
      </c>
      <c r="AA44" s="59">
        <v>3.0</v>
      </c>
      <c r="AB44" s="60" t="str">
        <f>IF(SUM('P105'!$Y44:$AA44)&gt;5.9,"SI","NO")</f>
        <v>SI</v>
      </c>
      <c r="AC44" s="61">
        <f>SUM('P105'!$Y44:$AA44)</f>
        <v>6</v>
      </c>
      <c r="AD44" s="62">
        <v>1.9</v>
      </c>
      <c r="AE44" s="62">
        <v>6.1</v>
      </c>
      <c r="AF44" s="63" t="str">
        <f>IF('P105'!$AG44&gt;5.9,"SI","NO")</f>
        <v>SI</v>
      </c>
      <c r="AG44" s="64">
        <f>SUM('P105'!$AD44:$AE44)</f>
        <v>8</v>
      </c>
      <c r="AH44" s="65">
        <v>3.0</v>
      </c>
      <c r="AI44" s="65">
        <v>1.5</v>
      </c>
      <c r="AJ44" s="66">
        <f>AVERAGE('P105'!$AH44:$AI44)</f>
        <v>2.25</v>
      </c>
      <c r="AK44" s="142">
        <v>1.0</v>
      </c>
      <c r="AL44" s="143">
        <v>5.0</v>
      </c>
      <c r="AM44" s="144">
        <v>3.5</v>
      </c>
      <c r="AN44" s="46">
        <f>(('P105'!$AL44+'P105'!$AM44))*'P105'!$AK44</f>
        <v>8.5</v>
      </c>
      <c r="AO44" s="70">
        <f t="shared" si="1"/>
        <v>10.09791066</v>
      </c>
      <c r="AP44" s="71">
        <f>SUM('P105'!$U44)</f>
        <v>27.08027939</v>
      </c>
      <c r="AQ44" s="71">
        <f>SUM(AN44,AJ44,AG44,AC44,X44,'P105'!$AO44)</f>
        <v>47.31283934</v>
      </c>
      <c r="AR44" s="247">
        <f>'P105'!$AP44+'P105'!$AQ44</f>
        <v>74.39311872</v>
      </c>
    </row>
    <row r="45" ht="14.25" customHeight="1">
      <c r="A45" s="250" t="s">
        <v>532</v>
      </c>
      <c r="B45" s="103">
        <v>2.0230415E8</v>
      </c>
      <c r="C45" s="103" t="s">
        <v>533</v>
      </c>
      <c r="D45" s="251">
        <v>6.0</v>
      </c>
      <c r="E45" s="49"/>
      <c r="F45" s="252">
        <v>1.04816731</v>
      </c>
      <c r="G45" s="51">
        <v>0.5</v>
      </c>
      <c r="H45" s="51">
        <v>1.063733071</v>
      </c>
      <c r="I45" s="52">
        <v>3.0</v>
      </c>
      <c r="J45" s="53">
        <v>2.0</v>
      </c>
      <c r="K45" s="54">
        <v>4.6</v>
      </c>
      <c r="L45" s="55">
        <f>SUM('P105'!$I45:$K45)</f>
        <v>9.6</v>
      </c>
      <c r="M45" s="52">
        <v>3.0</v>
      </c>
      <c r="N45" s="53">
        <v>2.0</v>
      </c>
      <c r="O45" s="54">
        <v>5.0</v>
      </c>
      <c r="P45" s="55">
        <f>SUM('P105'!$M45:$O45)</f>
        <v>10</v>
      </c>
      <c r="Q45" s="52">
        <v>3.0</v>
      </c>
      <c r="R45" s="53">
        <v>1.25</v>
      </c>
      <c r="S45" s="54">
        <v>4.2</v>
      </c>
      <c r="T45" s="55">
        <f>SUM('P105'!$Q45:$S45)</f>
        <v>8.45</v>
      </c>
      <c r="U45" s="56">
        <f>('P105'!$L45+'P105'!$P45+'P105'!$T45)*'P105'!$F45</f>
        <v>29.40109305</v>
      </c>
      <c r="V45" s="57">
        <v>3.15</v>
      </c>
      <c r="W45" s="57">
        <v>9.1</v>
      </c>
      <c r="X45" s="58">
        <f>SUM('P105'!$V45:$W45)*'P105'!$G45</f>
        <v>6.125</v>
      </c>
      <c r="Y45" s="59">
        <v>1.5</v>
      </c>
      <c r="Z45" s="59">
        <v>0.0</v>
      </c>
      <c r="AA45" s="59">
        <v>0.0</v>
      </c>
      <c r="AB45" s="60" t="str">
        <f>IF(SUM('P105'!$Y45:$AA45)&gt;5.9,"SI","NO")</f>
        <v>NO</v>
      </c>
      <c r="AC45" s="61">
        <f>SUM('P105'!$Y45:$AA45)</f>
        <v>1.5</v>
      </c>
      <c r="AD45" s="62">
        <v>1.8</v>
      </c>
      <c r="AE45" s="62">
        <v>4.2</v>
      </c>
      <c r="AF45" s="63" t="str">
        <f>IF('P105'!$AG45&gt;5.9,"SI","NO")</f>
        <v>SI</v>
      </c>
      <c r="AG45" s="64">
        <f>SUM('P105'!$AD45:$AE45)</f>
        <v>6</v>
      </c>
      <c r="AH45" s="65">
        <v>2.5</v>
      </c>
      <c r="AI45" s="65">
        <v>2.0</v>
      </c>
      <c r="AJ45" s="66">
        <f>AVERAGE('P105'!$AH45:$AI45)</f>
        <v>2.25</v>
      </c>
      <c r="AK45" s="142">
        <v>1.0</v>
      </c>
      <c r="AL45" s="143">
        <v>0.0</v>
      </c>
      <c r="AM45" s="144">
        <v>0.0</v>
      </c>
      <c r="AN45" s="46">
        <f>(('P105'!$AL45+'P105'!$AM45))*'P105'!$AK45</f>
        <v>0</v>
      </c>
      <c r="AO45" s="70">
        <f t="shared" si="1"/>
        <v>10.63733071</v>
      </c>
      <c r="AP45" s="71">
        <f>SUM('P105'!$U45)</f>
        <v>29.40109305</v>
      </c>
      <c r="AQ45" s="71">
        <f>SUM(AN45,AJ45,AG45,AC45,X45,'P105'!$AO45)</f>
        <v>26.51233071</v>
      </c>
      <c r="AR45" s="247">
        <f>'P105'!$AP45+'P105'!$AQ45</f>
        <v>55.91342376</v>
      </c>
    </row>
    <row r="46" ht="14.25" customHeight="1">
      <c r="A46" s="250" t="s">
        <v>534</v>
      </c>
      <c r="B46" s="267">
        <v>2.02317491E8</v>
      </c>
      <c r="C46" s="103" t="s">
        <v>535</v>
      </c>
      <c r="D46" s="268">
        <v>2.0</v>
      </c>
      <c r="E46" s="83"/>
      <c r="F46" s="252">
        <v>0.5</v>
      </c>
      <c r="G46" s="51">
        <v>0.967946395</v>
      </c>
      <c r="H46" s="51">
        <v>0.958314847</v>
      </c>
      <c r="I46" s="52">
        <v>3.0</v>
      </c>
      <c r="J46" s="53">
        <v>1.75</v>
      </c>
      <c r="K46" s="54">
        <v>4.9</v>
      </c>
      <c r="L46" s="55">
        <f>SUM('P105'!$I46:$K46)</f>
        <v>9.65</v>
      </c>
      <c r="M46" s="52">
        <v>3.0</v>
      </c>
      <c r="N46" s="53">
        <v>2.0</v>
      </c>
      <c r="O46" s="54">
        <v>5.0</v>
      </c>
      <c r="P46" s="55">
        <f>SUM('P105'!$M46:$O46)</f>
        <v>10</v>
      </c>
      <c r="Q46" s="52">
        <v>1.5</v>
      </c>
      <c r="R46" s="53">
        <v>2.0</v>
      </c>
      <c r="S46" s="54">
        <v>0.0</v>
      </c>
      <c r="T46" s="55">
        <f>SUM('P105'!$Q46:$S46)</f>
        <v>3.5</v>
      </c>
      <c r="U46" s="56">
        <f>('P105'!$L46+'P105'!$P46+'P105'!$T46)*'P105'!$F46</f>
        <v>11.575</v>
      </c>
      <c r="V46" s="57">
        <v>5.0</v>
      </c>
      <c r="W46" s="57">
        <v>9.8</v>
      </c>
      <c r="X46" s="58">
        <f>SUM('P105'!$V46:$W46)*'P105'!$G46</f>
        <v>14.32560665</v>
      </c>
      <c r="Y46" s="59">
        <v>2.0</v>
      </c>
      <c r="Z46" s="59">
        <v>1.5</v>
      </c>
      <c r="AA46" s="59">
        <v>0.0</v>
      </c>
      <c r="AB46" s="60" t="str">
        <f>IF(SUM('P105'!$Y46:$AA46)&gt;5.9,"SI","NO")</f>
        <v>NO</v>
      </c>
      <c r="AC46" s="61">
        <f>SUM('P105'!$Y46:$AA46)</f>
        <v>3.5</v>
      </c>
      <c r="AD46" s="62">
        <v>1.0</v>
      </c>
      <c r="AE46" s="62">
        <v>5.0</v>
      </c>
      <c r="AF46" s="63" t="str">
        <f>IF('P105'!$AG46&gt;5.9,"SI","NO")</f>
        <v>SI</v>
      </c>
      <c r="AG46" s="64">
        <f>SUM('P105'!$AD46:$AE46)</f>
        <v>6</v>
      </c>
      <c r="AH46" s="65">
        <v>4.0</v>
      </c>
      <c r="AI46" s="65">
        <v>4.0</v>
      </c>
      <c r="AJ46" s="66">
        <f>AVERAGE('P105'!$AH46:$AI46)</f>
        <v>4</v>
      </c>
      <c r="AK46" s="142">
        <v>1.0</v>
      </c>
      <c r="AL46" s="143">
        <v>8.0</v>
      </c>
      <c r="AM46" s="144">
        <v>8.0</v>
      </c>
      <c r="AN46" s="46">
        <f>(('P105'!$AL46+'P105'!$AM46))*'P105'!$AK46</f>
        <v>16</v>
      </c>
      <c r="AO46" s="70">
        <f t="shared" si="1"/>
        <v>9.58314847</v>
      </c>
      <c r="AP46" s="71">
        <f>SUM('P105'!$U46)</f>
        <v>11.575</v>
      </c>
      <c r="AQ46" s="71">
        <f>SUM(AN46,AJ46,AG46,AC46,X46,'P105'!$AO46)</f>
        <v>53.40875512</v>
      </c>
      <c r="AR46" s="247">
        <f>'P105'!$AP46+'P105'!$AQ46</f>
        <v>64.98375512</v>
      </c>
    </row>
    <row r="47" ht="14.25" customHeight="1">
      <c r="A47" s="250" t="s">
        <v>536</v>
      </c>
      <c r="B47" s="267">
        <v>2.02412045E8</v>
      </c>
      <c r="C47" s="103" t="s">
        <v>537</v>
      </c>
      <c r="D47" s="268">
        <v>5.0</v>
      </c>
      <c r="E47" s="83"/>
      <c r="F47" s="252">
        <v>1.10940039</v>
      </c>
      <c r="G47" s="51">
        <v>1.109400392</v>
      </c>
      <c r="H47" s="51">
        <v>1.0</v>
      </c>
      <c r="I47" s="52">
        <v>0.0</v>
      </c>
      <c r="J47" s="53">
        <v>0.0</v>
      </c>
      <c r="K47" s="54">
        <v>0.0</v>
      </c>
      <c r="L47" s="55">
        <f>SUM('P105'!$I47:$K47)</f>
        <v>0</v>
      </c>
      <c r="M47" s="52">
        <v>0.0</v>
      </c>
      <c r="N47" s="53">
        <v>0.0</v>
      </c>
      <c r="O47" s="54">
        <v>0.0</v>
      </c>
      <c r="P47" s="55">
        <f>SUM('P105'!$M47:$O47)</f>
        <v>0</v>
      </c>
      <c r="Q47" s="52">
        <v>3.0</v>
      </c>
      <c r="R47" s="53">
        <v>1.75</v>
      </c>
      <c r="S47" s="54">
        <v>0.0</v>
      </c>
      <c r="T47" s="55">
        <f>SUM('P105'!$Q47:$S47)</f>
        <v>4.75</v>
      </c>
      <c r="U47" s="56">
        <f>('P105'!$L47+'P105'!$P47+'P105'!$T47)*'P105'!$F47</f>
        <v>5.269651853</v>
      </c>
      <c r="V47" s="57">
        <v>2.7</v>
      </c>
      <c r="W47" s="57">
        <v>3.8</v>
      </c>
      <c r="X47" s="58">
        <f>SUM('P105'!$V47:$W47)*'P105'!$G47</f>
        <v>7.211102548</v>
      </c>
      <c r="Y47" s="59">
        <v>0.0</v>
      </c>
      <c r="Z47" s="59">
        <v>0.0</v>
      </c>
      <c r="AA47" s="59">
        <v>2.5</v>
      </c>
      <c r="AB47" s="60" t="str">
        <f>IF(SUM('P105'!$Y47:$AA47)&gt;5.9,"SI","NO")</f>
        <v>NO</v>
      </c>
      <c r="AC47" s="61">
        <f>SUM('P105'!$Y47:$AA47)</f>
        <v>2.5</v>
      </c>
      <c r="AD47" s="62">
        <v>0.0</v>
      </c>
      <c r="AE47" s="62">
        <v>4.0</v>
      </c>
      <c r="AF47" s="63" t="str">
        <f>IF('P105'!$AG47&gt;5.9,"SI","NO")</f>
        <v>NO</v>
      </c>
      <c r="AG47" s="64">
        <f>SUM('P105'!$AD47:$AE47)</f>
        <v>4</v>
      </c>
      <c r="AH47" s="141">
        <f>IF('P105'!$AF47="NO",0," ")</f>
        <v>0</v>
      </c>
      <c r="AI47" s="141">
        <f>IF('P105'!$AF47="NO",0," ")</f>
        <v>0</v>
      </c>
      <c r="AJ47" s="66">
        <f>AVERAGE('P105'!$AH47:$AI47)</f>
        <v>0</v>
      </c>
      <c r="AK47" s="142">
        <v>0.0</v>
      </c>
      <c r="AL47" s="143">
        <v>0.0</v>
      </c>
      <c r="AM47" s="144">
        <v>0.0</v>
      </c>
      <c r="AN47" s="46">
        <f>(('P105'!$AL47+'P105'!$AM47))*'P105'!$AK47</f>
        <v>0</v>
      </c>
      <c r="AO47" s="70">
        <f t="shared" si="1"/>
        <v>10</v>
      </c>
      <c r="AP47" s="71">
        <f>SUM('P105'!$U47)</f>
        <v>5.269651853</v>
      </c>
      <c r="AQ47" s="71">
        <f>SUM(AN47,AJ47,AG47,AC47,X47,'P105'!$AO47)</f>
        <v>23.71110255</v>
      </c>
      <c r="AR47" s="247">
        <f>'P105'!$AP47+'P105'!$AQ47</f>
        <v>28.9807544</v>
      </c>
    </row>
    <row r="48" ht="14.25" customHeight="1">
      <c r="A48" s="250" t="s">
        <v>538</v>
      </c>
      <c r="B48" s="267">
        <v>2.02304119E8</v>
      </c>
      <c r="C48" s="103" t="s">
        <v>539</v>
      </c>
      <c r="D48" s="268">
        <v>10.0</v>
      </c>
      <c r="E48" s="83"/>
      <c r="F48" s="252">
        <v>1.03362279</v>
      </c>
      <c r="G48" s="51">
        <v>1.03050808</v>
      </c>
      <c r="H48" s="51">
        <v>1.036023774</v>
      </c>
      <c r="I48" s="52">
        <v>0.0</v>
      </c>
      <c r="J48" s="53">
        <v>0.0</v>
      </c>
      <c r="K48" s="54">
        <v>0.0</v>
      </c>
      <c r="L48" s="55">
        <f>SUM('P105'!$I48:$K48)</f>
        <v>0</v>
      </c>
      <c r="M48" s="52">
        <v>3.0</v>
      </c>
      <c r="N48" s="53">
        <v>2.0</v>
      </c>
      <c r="O48" s="54">
        <v>5.0</v>
      </c>
      <c r="P48" s="55">
        <f>SUM('P105'!$M48:$O48)</f>
        <v>10</v>
      </c>
      <c r="Q48" s="52">
        <v>1.5</v>
      </c>
      <c r="R48" s="53">
        <v>1.5</v>
      </c>
      <c r="S48" s="54">
        <v>4.4</v>
      </c>
      <c r="T48" s="55">
        <f>SUM('P105'!$Q48:$S48)</f>
        <v>7.4</v>
      </c>
      <c r="U48" s="56">
        <f>('P105'!$L48+'P105'!$P48+'P105'!$T48)*'P105'!$F48</f>
        <v>17.98503655</v>
      </c>
      <c r="V48" s="57">
        <v>2.65</v>
      </c>
      <c r="W48" s="57">
        <v>9.6</v>
      </c>
      <c r="X48" s="58">
        <f>SUM('P105'!$V48:$W48)*'P105'!$G48</f>
        <v>12.62372398</v>
      </c>
      <c r="Y48" s="59">
        <v>2.0</v>
      </c>
      <c r="Z48" s="59">
        <v>0.0</v>
      </c>
      <c r="AA48" s="59">
        <v>4.0</v>
      </c>
      <c r="AB48" s="60" t="str">
        <f>IF(SUM('P105'!$Y48:$AA48)&gt;5.9,"SI","NO")</f>
        <v>SI</v>
      </c>
      <c r="AC48" s="61">
        <f>SUM('P105'!$Y48:$AA48)</f>
        <v>6</v>
      </c>
      <c r="AD48" s="62">
        <v>1.9</v>
      </c>
      <c r="AE48" s="62">
        <v>6.1</v>
      </c>
      <c r="AF48" s="63" t="str">
        <f>IF('P105'!$AG48&gt;5.9,"SI","NO")</f>
        <v>SI</v>
      </c>
      <c r="AG48" s="64">
        <f>SUM('P105'!$AD48:$AE48)</f>
        <v>8</v>
      </c>
      <c r="AH48" s="65">
        <v>3.0</v>
      </c>
      <c r="AI48" s="65">
        <v>1.5</v>
      </c>
      <c r="AJ48" s="66">
        <f>AVERAGE('P105'!$AH48:$AI48)</f>
        <v>2.25</v>
      </c>
      <c r="AK48" s="142">
        <v>1.0</v>
      </c>
      <c r="AL48" s="143">
        <v>6.0</v>
      </c>
      <c r="AM48" s="144">
        <v>3.5</v>
      </c>
      <c r="AN48" s="46">
        <f>(('P105'!$AL48+'P105'!$AM48))*'P105'!$AK48</f>
        <v>9.5</v>
      </c>
      <c r="AO48" s="70">
        <f t="shared" si="1"/>
        <v>10.36023774</v>
      </c>
      <c r="AP48" s="71">
        <f>SUM('P105'!$U48)</f>
        <v>17.98503655</v>
      </c>
      <c r="AQ48" s="71">
        <f>SUM(AN48,AJ48,AG48,AC48,X48,'P105'!$AO48)</f>
        <v>48.73396172</v>
      </c>
      <c r="AR48" s="247">
        <f>'P105'!$AP48+'P105'!$AQ48</f>
        <v>66.71899827</v>
      </c>
    </row>
    <row r="49" ht="14.25" customHeight="1">
      <c r="A49" s="250" t="s">
        <v>540</v>
      </c>
      <c r="B49" s="267">
        <v>2.02306858E8</v>
      </c>
      <c r="C49" s="103" t="s">
        <v>541</v>
      </c>
      <c r="D49" s="268">
        <v>5.0</v>
      </c>
      <c r="E49" s="83"/>
      <c r="F49" s="252">
        <v>1.10940039</v>
      </c>
      <c r="G49" s="51">
        <v>1.109400392</v>
      </c>
      <c r="H49" s="51">
        <v>1.0</v>
      </c>
      <c r="I49" s="52">
        <v>3.0</v>
      </c>
      <c r="J49" s="53">
        <v>1.75</v>
      </c>
      <c r="K49" s="54">
        <v>4.1</v>
      </c>
      <c r="L49" s="55">
        <f>SUM('P105'!$I49:$K49)</f>
        <v>8.85</v>
      </c>
      <c r="M49" s="52">
        <v>3.0</v>
      </c>
      <c r="N49" s="53">
        <v>2.0</v>
      </c>
      <c r="O49" s="54">
        <v>5.0</v>
      </c>
      <c r="P49" s="55">
        <f>SUM('P105'!$M49:$O49)</f>
        <v>10</v>
      </c>
      <c r="Q49" s="52">
        <v>0.75</v>
      </c>
      <c r="R49" s="53">
        <v>0.0</v>
      </c>
      <c r="S49" s="54">
        <v>0.0</v>
      </c>
      <c r="T49" s="55">
        <f>SUM('P105'!$Q49:$S49)</f>
        <v>0.75</v>
      </c>
      <c r="U49" s="56">
        <f>('P105'!$L49+'P105'!$P49+'P105'!$T49)*'P105'!$F49</f>
        <v>21.74424764</v>
      </c>
      <c r="V49" s="57">
        <v>2.7</v>
      </c>
      <c r="W49" s="57">
        <v>3.8</v>
      </c>
      <c r="X49" s="58">
        <f>SUM('P105'!$V49:$W49)*'P105'!$G49</f>
        <v>7.211102548</v>
      </c>
      <c r="Y49" s="59">
        <v>0.0</v>
      </c>
      <c r="Z49" s="59">
        <v>0.0</v>
      </c>
      <c r="AA49" s="59">
        <v>0.0</v>
      </c>
      <c r="AB49" s="60" t="str">
        <f>IF(SUM('P105'!$Y49:$AA49)&gt;5.9,"SI","NO")</f>
        <v>NO</v>
      </c>
      <c r="AC49" s="61">
        <f>SUM('P105'!$Y49:$AA49)</f>
        <v>0</v>
      </c>
      <c r="AD49" s="62">
        <v>0.0</v>
      </c>
      <c r="AE49" s="62">
        <v>4.0</v>
      </c>
      <c r="AF49" s="63" t="str">
        <f>IF('P105'!$AG49&gt;5.9,"SI","NO")</f>
        <v>NO</v>
      </c>
      <c r="AG49" s="64">
        <f>SUM('P105'!$AD49:$AE49)</f>
        <v>4</v>
      </c>
      <c r="AH49" s="141">
        <f>IF('P105'!$AF49="NO",0," ")</f>
        <v>0</v>
      </c>
      <c r="AI49" s="141">
        <f>IF('P105'!$AF49="NO",0," ")</f>
        <v>0</v>
      </c>
      <c r="AJ49" s="66">
        <f>AVERAGE('P105'!$AH49:$AI49)</f>
        <v>0</v>
      </c>
      <c r="AK49" s="142">
        <v>0.0</v>
      </c>
      <c r="AL49" s="143">
        <v>0.0</v>
      </c>
      <c r="AM49" s="144">
        <v>0.0</v>
      </c>
      <c r="AN49" s="46">
        <f>(('P105'!$AL49+'P105'!$AM49))*'P105'!$AK49</f>
        <v>0</v>
      </c>
      <c r="AO49" s="70">
        <f t="shared" si="1"/>
        <v>10</v>
      </c>
      <c r="AP49" s="71">
        <f>SUM('P105'!$U49)</f>
        <v>21.74424764</v>
      </c>
      <c r="AQ49" s="71">
        <f>SUM(AN49,AJ49,AG49,AC49,X49,'P105'!$AO49)</f>
        <v>21.21110255</v>
      </c>
      <c r="AR49" s="247">
        <f>'P105'!$AP49+'P105'!$AQ49</f>
        <v>42.95535019</v>
      </c>
    </row>
    <row r="50" ht="14.25" customHeight="1">
      <c r="A50" s="250" t="s">
        <v>542</v>
      </c>
      <c r="B50" s="267">
        <v>2.02214631E8</v>
      </c>
      <c r="C50" s="103" t="s">
        <v>543</v>
      </c>
      <c r="D50" s="268">
        <v>9.0</v>
      </c>
      <c r="E50" s="83"/>
      <c r="F50" s="252">
        <v>1.00402416</v>
      </c>
      <c r="G50" s="51">
        <v>0.977423727</v>
      </c>
      <c r="H50" s="51">
        <v>0.99141615</v>
      </c>
      <c r="I50" s="52">
        <v>3.0</v>
      </c>
      <c r="J50" s="53">
        <v>2.0</v>
      </c>
      <c r="K50" s="54">
        <v>5.0</v>
      </c>
      <c r="L50" s="55">
        <f>SUM('P105'!$I50:$K50)</f>
        <v>10</v>
      </c>
      <c r="M50" s="52">
        <v>3.0</v>
      </c>
      <c r="N50" s="53">
        <v>2.0</v>
      </c>
      <c r="O50" s="54">
        <v>5.0</v>
      </c>
      <c r="P50" s="55">
        <f>SUM('P105'!$M50:$O50)</f>
        <v>10</v>
      </c>
      <c r="Q50" s="52">
        <v>0.75</v>
      </c>
      <c r="R50" s="53">
        <v>2.0</v>
      </c>
      <c r="S50" s="54">
        <v>4.2</v>
      </c>
      <c r="T50" s="55">
        <f>SUM('P105'!$Q50:$S50)</f>
        <v>6.95</v>
      </c>
      <c r="U50" s="56">
        <f>('P105'!$L50+'P105'!$P50+'P105'!$T50)*'P105'!$F50</f>
        <v>27.05845111</v>
      </c>
      <c r="V50" s="57">
        <v>3.0</v>
      </c>
      <c r="W50" s="57">
        <v>8.3</v>
      </c>
      <c r="X50" s="58">
        <f>SUM('P105'!$V50:$W50)*'P105'!$G50</f>
        <v>11.04488812</v>
      </c>
      <c r="Y50" s="59">
        <v>2.0</v>
      </c>
      <c r="Z50" s="59">
        <v>0.0</v>
      </c>
      <c r="AA50" s="59">
        <v>2.5</v>
      </c>
      <c r="AB50" s="60" t="str">
        <f>IF(SUM('P105'!$Y50:$AA50)&gt;5.9,"SI","NO")</f>
        <v>NO</v>
      </c>
      <c r="AC50" s="61">
        <f>SUM('P105'!$Y50:$AA50)</f>
        <v>4.5</v>
      </c>
      <c r="AD50" s="62">
        <v>1.0</v>
      </c>
      <c r="AE50" s="62">
        <v>4.0</v>
      </c>
      <c r="AF50" s="63" t="str">
        <f>IF('P105'!$AG50&gt;5.9,"SI","NO")</f>
        <v>NO</v>
      </c>
      <c r="AG50" s="64">
        <f>SUM('P105'!$AD50:$AE50)</f>
        <v>5</v>
      </c>
      <c r="AH50" s="65">
        <v>2.5</v>
      </c>
      <c r="AI50" s="65">
        <v>2.5</v>
      </c>
      <c r="AJ50" s="66">
        <f>AVERAGE('P105'!$AH50:$AI50)</f>
        <v>2.5</v>
      </c>
      <c r="AK50" s="142">
        <v>0.0</v>
      </c>
      <c r="AL50" s="143">
        <v>0.0</v>
      </c>
      <c r="AM50" s="144">
        <v>0.0</v>
      </c>
      <c r="AN50" s="46">
        <f>(('P105'!$AL50+'P105'!$AM50))*'P105'!$AK50</f>
        <v>0</v>
      </c>
      <c r="AO50" s="70">
        <f t="shared" si="1"/>
        <v>9.9141615</v>
      </c>
      <c r="AP50" s="71">
        <f>SUM('P105'!$U50)</f>
        <v>27.05845111</v>
      </c>
      <c r="AQ50" s="71">
        <f>SUM(AN50,AJ50,AG50,AC50,X50,'P105'!$AO50)</f>
        <v>32.95904962</v>
      </c>
      <c r="AR50" s="247">
        <f>'P105'!$AP50+'P105'!$AQ50</f>
        <v>60.01750073</v>
      </c>
    </row>
    <row r="51" ht="14.25" customHeight="1">
      <c r="A51" s="250" t="s">
        <v>544</v>
      </c>
      <c r="B51" s="267">
        <v>2.02508909E8</v>
      </c>
      <c r="C51" s="103" t="s">
        <v>545</v>
      </c>
      <c r="D51" s="268">
        <v>0.0</v>
      </c>
      <c r="E51" s="83"/>
      <c r="F51" s="252">
        <v>0.5</v>
      </c>
      <c r="G51" s="51">
        <v>0.5</v>
      </c>
      <c r="H51" s="51">
        <v>0.5</v>
      </c>
      <c r="I51" s="52">
        <v>2.25</v>
      </c>
      <c r="J51" s="53">
        <v>2.0</v>
      </c>
      <c r="K51" s="54">
        <v>0.0</v>
      </c>
      <c r="L51" s="55">
        <f>SUM('P105'!$I51:$K51)</f>
        <v>4.25</v>
      </c>
      <c r="M51" s="52">
        <v>0.0</v>
      </c>
      <c r="N51" s="53">
        <v>0.0</v>
      </c>
      <c r="O51" s="54">
        <v>0.0</v>
      </c>
      <c r="P51" s="55">
        <f>SUM('P105'!$M51:$O51)</f>
        <v>0</v>
      </c>
      <c r="Q51" s="52">
        <v>0.0</v>
      </c>
      <c r="R51" s="53">
        <v>0.0</v>
      </c>
      <c r="S51" s="54">
        <v>0.0</v>
      </c>
      <c r="T51" s="55">
        <f>SUM('P105'!$Q51:$S51)</f>
        <v>0</v>
      </c>
      <c r="U51" s="56">
        <f>('P105'!$L51+'P105'!$P51+'P105'!$T51)*'P105'!$F51</f>
        <v>2.125</v>
      </c>
      <c r="V51" s="57">
        <v>3.05</v>
      </c>
      <c r="W51" s="57">
        <v>0.0</v>
      </c>
      <c r="X51" s="58">
        <f>SUM('P105'!$V51:$W51)*'P105'!$G51</f>
        <v>1.525</v>
      </c>
      <c r="Y51" s="59">
        <v>0.0</v>
      </c>
      <c r="Z51" s="59">
        <v>0.0</v>
      </c>
      <c r="AA51" s="59">
        <v>0.0</v>
      </c>
      <c r="AB51" s="60" t="str">
        <f>IF(SUM('P105'!$Y51:$AA51)&gt;5.9,"SI","NO")</f>
        <v>NO</v>
      </c>
      <c r="AC51" s="61">
        <f>SUM('P105'!$Y51:$AA51)</f>
        <v>0</v>
      </c>
      <c r="AD51" s="62">
        <v>0.0</v>
      </c>
      <c r="AE51" s="62">
        <v>0.0</v>
      </c>
      <c r="AF51" s="63" t="str">
        <f>IF('P105'!$AG51&gt;5.9,"SI","NO")</f>
        <v>NO</v>
      </c>
      <c r="AG51" s="64">
        <f>SUM('P105'!$AD51:$AE51)</f>
        <v>0</v>
      </c>
      <c r="AH51" s="141">
        <f>IF('P105'!$AF51="NO",0," ")</f>
        <v>0</v>
      </c>
      <c r="AI51" s="141">
        <f>IF('P105'!$AF51="NO",0," ")</f>
        <v>0</v>
      </c>
      <c r="AJ51" s="66">
        <f>AVERAGE('P105'!$AH51:$AI51)</f>
        <v>0</v>
      </c>
      <c r="AK51" s="142">
        <v>0.0</v>
      </c>
      <c r="AL51" s="143">
        <v>0.0</v>
      </c>
      <c r="AM51" s="144">
        <v>0.0</v>
      </c>
      <c r="AN51" s="46">
        <f>(('P105'!$AL51+'P105'!$AM51))*'P105'!$AK51</f>
        <v>0</v>
      </c>
      <c r="AO51" s="70">
        <f t="shared" si="1"/>
        <v>5</v>
      </c>
      <c r="AP51" s="71">
        <f>SUM('P105'!$U51)</f>
        <v>2.125</v>
      </c>
      <c r="AQ51" s="71">
        <f>SUM(AN51,AJ51,AG51,AC51,X51,'P105'!$AO51)</f>
        <v>6.525</v>
      </c>
      <c r="AR51" s="247">
        <f>'P105'!$AP51+'P105'!$AQ51</f>
        <v>8.65</v>
      </c>
    </row>
    <row r="52" ht="14.25" customHeight="1">
      <c r="A52" s="108"/>
      <c r="B52" s="108"/>
      <c r="C52" s="108"/>
      <c r="D52" s="269"/>
      <c r="E52" s="106"/>
      <c r="F52" s="106"/>
      <c r="G52" s="270"/>
      <c r="H52" s="106"/>
      <c r="I52" s="159"/>
      <c r="J52" s="109"/>
      <c r="K52" s="163"/>
      <c r="L52" s="110"/>
      <c r="M52" s="161"/>
      <c r="N52" s="162"/>
      <c r="O52" s="163"/>
      <c r="P52" s="110"/>
      <c r="Q52" s="159"/>
      <c r="R52" s="109"/>
      <c r="S52" s="163"/>
      <c r="T52" s="110"/>
      <c r="U52" s="111"/>
      <c r="V52" s="112"/>
      <c r="W52" s="112"/>
      <c r="X52" s="114"/>
      <c r="Y52" s="166"/>
      <c r="Z52" s="166"/>
      <c r="AA52" s="166"/>
      <c r="AB52" s="115">
        <f>COUNTIF(AB4:AB51,"SI")</f>
        <v>17</v>
      </c>
      <c r="AC52" s="116"/>
      <c r="AD52" s="271"/>
      <c r="AE52" s="117"/>
      <c r="AF52" s="117"/>
      <c r="AG52" s="118"/>
      <c r="AH52" s="119"/>
      <c r="AI52" s="119"/>
      <c r="AJ52" s="120"/>
      <c r="AK52" s="168"/>
      <c r="AL52" s="169"/>
      <c r="AM52" s="170"/>
      <c r="AN52" s="121"/>
      <c r="AO52" s="122"/>
      <c r="AP52" s="107"/>
      <c r="AQ52" s="107"/>
      <c r="AR52" s="171"/>
    </row>
    <row r="53" ht="14.25" customHeight="1">
      <c r="A53" s="108"/>
      <c r="B53" s="108"/>
      <c r="C53" s="108"/>
      <c r="D53" s="269"/>
      <c r="E53" s="106"/>
      <c r="F53" s="106"/>
      <c r="G53" s="270"/>
      <c r="H53" s="106"/>
      <c r="I53" s="159"/>
      <c r="J53" s="109"/>
      <c r="K53" s="163"/>
      <c r="L53" s="110"/>
      <c r="M53" s="161"/>
      <c r="N53" s="162"/>
      <c r="O53" s="163"/>
      <c r="P53" s="110"/>
      <c r="Q53" s="159"/>
      <c r="R53" s="109"/>
      <c r="S53" s="163"/>
      <c r="T53" s="110"/>
      <c r="U53" s="111"/>
      <c r="V53" s="112"/>
      <c r="W53" s="112"/>
      <c r="X53" s="114"/>
      <c r="Y53" s="166"/>
      <c r="Z53" s="166"/>
      <c r="AA53" s="272" t="s">
        <v>546</v>
      </c>
      <c r="AB53" s="273">
        <f>AB52*100/37</f>
        <v>45.94594595</v>
      </c>
      <c r="AC53" s="116"/>
      <c r="AD53" s="271"/>
      <c r="AE53" s="117"/>
      <c r="AF53" s="117"/>
      <c r="AG53" s="118"/>
      <c r="AH53" s="119"/>
      <c r="AI53" s="119"/>
      <c r="AJ53" s="120"/>
      <c r="AK53" s="168"/>
      <c r="AL53" s="169"/>
      <c r="AM53" s="170"/>
      <c r="AN53" s="121"/>
      <c r="AO53" s="122"/>
      <c r="AP53" s="107"/>
      <c r="AQ53" s="107"/>
      <c r="AR53" s="172">
        <f>AVERAGE(AR4:AR51)</f>
        <v>56.33246735</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customSheetViews>
    <customSheetView guid="{41EAD126-16FB-4A8D-894A-CEA6439A4201}" filter="1" showAutoFilter="1">
      <autoFilter ref="$A$2:$AR$53"/>
    </customSheetView>
  </customSheetViews>
  <mergeCells count="9">
    <mergeCell ref="AK1:AN1"/>
    <mergeCell ref="AP1:AR1"/>
    <mergeCell ref="D1:E1"/>
    <mergeCell ref="F1:H1"/>
    <mergeCell ref="I1:U1"/>
    <mergeCell ref="V1:X1"/>
    <mergeCell ref="Y1:AC1"/>
    <mergeCell ref="AD1:AG1"/>
    <mergeCell ref="AH1:AJ1"/>
  </mergeCells>
  <conditionalFormatting sqref="AB3:AB51">
    <cfRule type="containsText" dxfId="4" priority="1" operator="containsText" text="SI">
      <formula>NOT(ISERROR(SEARCH(("SI"),(AB3))))</formula>
    </cfRule>
  </conditionalFormatting>
  <conditionalFormatting sqref="AB3:AB51">
    <cfRule type="containsText" dxfId="5" priority="2" operator="containsText" text="NO">
      <formula>NOT(ISERROR(SEARCH(("NO"),(AB3))))</formula>
    </cfRule>
  </conditionalFormatting>
  <conditionalFormatting sqref="AF3:AF51">
    <cfRule type="containsText" dxfId="4" priority="3" operator="containsText" text="SI">
      <formula>NOT(ISERROR(SEARCH(("SI"),(AF3))))</formula>
    </cfRule>
  </conditionalFormatting>
  <conditionalFormatting sqref="AF3:AF51">
    <cfRule type="containsText" dxfId="5" priority="4" operator="containsText" text="NO">
      <formula>NOT(ISERROR(SEARCH(("NO"),(AF3))))</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6.14"/>
    <col customWidth="1" min="2" max="2" width="14.0"/>
    <col customWidth="1" min="3" max="3" width="47.71"/>
    <col customWidth="1" min="4" max="4" width="6.43"/>
    <col customWidth="1" min="5" max="5" width="0.43"/>
    <col customWidth="1" min="6" max="8" width="9.0"/>
    <col customWidth="1" min="9" max="40" width="11.43"/>
    <col customWidth="1" min="41" max="41" width="15.14"/>
    <col customWidth="1" min="42" max="44" width="11.43"/>
  </cols>
  <sheetData>
    <row r="1" ht="68.25" customHeight="1">
      <c r="D1" s="1" t="s">
        <v>547</v>
      </c>
      <c r="E1" s="2"/>
      <c r="F1" s="3" t="s">
        <v>1</v>
      </c>
      <c r="G1" s="4"/>
      <c r="H1" s="5"/>
      <c r="I1" s="6" t="s">
        <v>2</v>
      </c>
      <c r="J1" s="4"/>
      <c r="K1" s="4"/>
      <c r="L1" s="4"/>
      <c r="M1" s="4"/>
      <c r="N1" s="4"/>
      <c r="O1" s="4"/>
      <c r="P1" s="4"/>
      <c r="Q1" s="4"/>
      <c r="R1" s="4"/>
      <c r="S1" s="4"/>
      <c r="T1" s="4"/>
      <c r="U1" s="5"/>
      <c r="V1" s="7" t="s">
        <v>3</v>
      </c>
      <c r="W1" s="4"/>
      <c r="X1" s="5"/>
      <c r="Y1" s="8" t="s">
        <v>4</v>
      </c>
      <c r="Z1" s="4"/>
      <c r="AA1" s="4"/>
      <c r="AB1" s="4"/>
      <c r="AC1" s="5"/>
      <c r="AD1" s="249" t="s">
        <v>251</v>
      </c>
      <c r="AE1" s="4"/>
      <c r="AF1" s="4"/>
      <c r="AG1" s="10"/>
      <c r="AH1" s="11" t="s">
        <v>6</v>
      </c>
      <c r="AI1" s="4"/>
      <c r="AJ1" s="5"/>
      <c r="AK1" s="176" t="s">
        <v>252</v>
      </c>
      <c r="AL1" s="4"/>
      <c r="AM1" s="4"/>
      <c r="AN1" s="5"/>
      <c r="AO1" s="13" t="s">
        <v>8</v>
      </c>
      <c r="AP1" s="14" t="s">
        <v>9</v>
      </c>
      <c r="AQ1" s="4"/>
      <c r="AR1" s="5"/>
    </row>
    <row r="2" ht="29.25" customHeight="1">
      <c r="A2" s="15" t="s">
        <v>10</v>
      </c>
      <c r="B2" s="16" t="s">
        <v>11</v>
      </c>
      <c r="C2" s="16" t="s">
        <v>12</v>
      </c>
      <c r="D2" s="17" t="s">
        <v>13</v>
      </c>
      <c r="E2" s="16" t="s">
        <v>14</v>
      </c>
      <c r="F2" s="18" t="s">
        <v>15</v>
      </c>
      <c r="G2" s="18" t="s">
        <v>16</v>
      </c>
      <c r="H2" s="18" t="s">
        <v>17</v>
      </c>
      <c r="I2" s="19" t="s">
        <v>18</v>
      </c>
      <c r="J2" s="20" t="s">
        <v>19</v>
      </c>
      <c r="K2" s="21" t="s">
        <v>20</v>
      </c>
      <c r="L2" s="22" t="s">
        <v>21</v>
      </c>
      <c r="M2" s="23" t="s">
        <v>22</v>
      </c>
      <c r="N2" s="24" t="s">
        <v>23</v>
      </c>
      <c r="O2" s="25" t="s">
        <v>24</v>
      </c>
      <c r="P2" s="26" t="s">
        <v>25</v>
      </c>
      <c r="Q2" s="23" t="s">
        <v>26</v>
      </c>
      <c r="R2" s="24" t="s">
        <v>27</v>
      </c>
      <c r="S2" s="25" t="s">
        <v>28</v>
      </c>
      <c r="T2" s="26" t="s">
        <v>29</v>
      </c>
      <c r="U2" s="27" t="s">
        <v>30</v>
      </c>
      <c r="V2" s="28" t="s">
        <v>31</v>
      </c>
      <c r="W2" s="28" t="s">
        <v>32</v>
      </c>
      <c r="X2" s="29" t="s">
        <v>33</v>
      </c>
      <c r="Y2" s="30" t="s">
        <v>34</v>
      </c>
      <c r="Z2" s="30" t="s">
        <v>35</v>
      </c>
      <c r="AA2" s="30" t="s">
        <v>36</v>
      </c>
      <c r="AB2" s="30" t="s">
        <v>37</v>
      </c>
      <c r="AC2" s="30" t="s">
        <v>38</v>
      </c>
      <c r="AD2" s="31" t="s">
        <v>39</v>
      </c>
      <c r="AE2" s="31" t="s">
        <v>40</v>
      </c>
      <c r="AF2" s="31" t="s">
        <v>41</v>
      </c>
      <c r="AG2" s="32" t="s">
        <v>42</v>
      </c>
      <c r="AH2" s="33" t="s">
        <v>43</v>
      </c>
      <c r="AI2" s="33" t="s">
        <v>44</v>
      </c>
      <c r="AJ2" s="34" t="s">
        <v>45</v>
      </c>
      <c r="AK2" s="35" t="s">
        <v>46</v>
      </c>
      <c r="AL2" s="36" t="s">
        <v>47</v>
      </c>
      <c r="AM2" s="37" t="s">
        <v>48</v>
      </c>
      <c r="AN2" s="38" t="s">
        <v>49</v>
      </c>
      <c r="AO2" s="39" t="s">
        <v>50</v>
      </c>
      <c r="AP2" s="40" t="s">
        <v>51</v>
      </c>
      <c r="AQ2" s="40" t="s">
        <v>52</v>
      </c>
      <c r="AR2" s="41" t="s">
        <v>53</v>
      </c>
    </row>
    <row r="3" ht="14.25" customHeight="1">
      <c r="A3" s="42" t="s">
        <v>54</v>
      </c>
      <c r="B3" s="43" t="s">
        <v>55</v>
      </c>
      <c r="C3" s="43" t="s">
        <v>56</v>
      </c>
      <c r="D3" s="43">
        <v>0.0</v>
      </c>
      <c r="E3" s="43">
        <v>1.0</v>
      </c>
      <c r="F3" s="43">
        <v>1.0</v>
      </c>
      <c r="G3" s="43">
        <v>1.0</v>
      </c>
      <c r="H3" s="43">
        <v>1.0</v>
      </c>
      <c r="I3" s="43">
        <v>3.0</v>
      </c>
      <c r="J3" s="43">
        <v>2.0</v>
      </c>
      <c r="K3" s="43">
        <v>5.0</v>
      </c>
      <c r="L3" s="43">
        <f>SUM('P106'!$I3:$K3)</f>
        <v>10</v>
      </c>
      <c r="M3" s="43">
        <v>3.0</v>
      </c>
      <c r="N3" s="43">
        <v>2.0</v>
      </c>
      <c r="O3" s="43">
        <v>5.0</v>
      </c>
      <c r="P3" s="43">
        <f>SUM('P106'!$M3:$O3)</f>
        <v>10</v>
      </c>
      <c r="Q3" s="43">
        <v>3.0</v>
      </c>
      <c r="R3" s="43">
        <v>2.0</v>
      </c>
      <c r="S3" s="43">
        <v>5.0</v>
      </c>
      <c r="T3" s="43">
        <f>SUM('P106'!$Q3:$S3)</f>
        <v>10</v>
      </c>
      <c r="U3" s="43">
        <f>('P106'!$L3+'P106'!$P3+'P106'!$T3)*'P106'!$F3</f>
        <v>30</v>
      </c>
      <c r="V3" s="43">
        <v>5.0</v>
      </c>
      <c r="W3" s="43">
        <v>10.0</v>
      </c>
      <c r="X3" s="44">
        <f>SUM('P106'!$V3:$W3)*'P106'!$G3</f>
        <v>15</v>
      </c>
      <c r="Y3" s="43">
        <v>2.0</v>
      </c>
      <c r="Z3" s="43">
        <v>3.0</v>
      </c>
      <c r="AA3" s="43">
        <v>5.0</v>
      </c>
      <c r="AB3" s="43" t="str">
        <f>IF(SUM('P106'!$Y3:$AA3)&gt;5.9,"SI","NO")</f>
        <v>SI</v>
      </c>
      <c r="AC3" s="43">
        <f>SUM('P106'!$Y3:$AA3)</f>
        <v>10</v>
      </c>
      <c r="AD3" s="43">
        <v>2.0</v>
      </c>
      <c r="AE3" s="43">
        <v>8.0</v>
      </c>
      <c r="AF3" s="43" t="str">
        <f>IF('P106'!$AG3&gt;5.9,"SI","NO")</f>
        <v>SI</v>
      </c>
      <c r="AG3" s="43">
        <f>SUM('P106'!$AD3:$AE3)</f>
        <v>10</v>
      </c>
      <c r="AH3" s="44">
        <v>5.0</v>
      </c>
      <c r="AI3" s="44">
        <v>5.0</v>
      </c>
      <c r="AJ3" s="44">
        <f>AVERAGE('P106'!$AH3:$AI3)</f>
        <v>5</v>
      </c>
      <c r="AK3" s="43">
        <v>1.0</v>
      </c>
      <c r="AL3" s="45">
        <v>10.0</v>
      </c>
      <c r="AM3" s="45">
        <v>10.0</v>
      </c>
      <c r="AN3" s="43">
        <f>(('P106'!$AL3+'P106'!$AM3))*'P106'!$AK3</f>
        <v>20</v>
      </c>
      <c r="AO3" s="45">
        <f>10*H3</f>
        <v>10</v>
      </c>
      <c r="AP3" s="43">
        <f>SUM('P106'!$U3)</f>
        <v>30</v>
      </c>
      <c r="AQ3" s="47">
        <f>SUM(AN3,AJ3,AG3,AC3,X3,'P106'!$AO3)</f>
        <v>70</v>
      </c>
      <c r="AR3" s="47">
        <f>'P106'!$AP3+'P106'!$AQ3</f>
        <v>100</v>
      </c>
    </row>
    <row r="4" ht="14.25" customHeight="1">
      <c r="A4" s="250" t="s">
        <v>548</v>
      </c>
      <c r="B4" s="103">
        <v>2.0250149E8</v>
      </c>
      <c r="C4" s="103" t="s">
        <v>549</v>
      </c>
      <c r="D4" s="251">
        <v>2.0</v>
      </c>
      <c r="E4" s="49"/>
      <c r="F4" s="51">
        <v>1.156195297</v>
      </c>
      <c r="G4" s="51">
        <v>1.224744871</v>
      </c>
      <c r="H4" s="51">
        <v>0.91025899</v>
      </c>
      <c r="I4" s="274">
        <v>2.25</v>
      </c>
      <c r="J4" s="274">
        <v>2.0</v>
      </c>
      <c r="K4" s="274">
        <v>5.0</v>
      </c>
      <c r="L4" s="55">
        <f>SUM('P106'!$I4:$K4)</f>
        <v>9.25</v>
      </c>
      <c r="M4" s="52">
        <v>3.0</v>
      </c>
      <c r="N4" s="53">
        <v>2.0</v>
      </c>
      <c r="O4" s="54">
        <v>5.0</v>
      </c>
      <c r="P4" s="55">
        <f>SUM('P106'!$M4:$O4)</f>
        <v>10</v>
      </c>
      <c r="Q4" s="274">
        <v>2.0</v>
      </c>
      <c r="R4" s="274">
        <v>1.5</v>
      </c>
      <c r="S4" s="274">
        <v>5.0</v>
      </c>
      <c r="T4" s="55">
        <f>SUM('P106'!$Q4:$S4)</f>
        <v>8.5</v>
      </c>
      <c r="U4" s="56">
        <f>('P106'!$L4+'P106'!$P4+'P106'!$T4)*'P106'!$F4</f>
        <v>32.08441949</v>
      </c>
      <c r="V4" s="274">
        <v>2.8</v>
      </c>
      <c r="W4" s="274">
        <v>9.4</v>
      </c>
      <c r="X4" s="58">
        <f>SUM('P106'!$V4:$W4)*'P106'!$G4</f>
        <v>14.94188743</v>
      </c>
      <c r="Y4" s="59">
        <v>1.5</v>
      </c>
      <c r="Z4" s="275">
        <v>3.0</v>
      </c>
      <c r="AA4" s="275">
        <v>5.0</v>
      </c>
      <c r="AB4" s="60" t="str">
        <f>IF(SUM('P106'!$Y4:$AA4)&gt;5.9,"SI","NO")</f>
        <v>SI</v>
      </c>
      <c r="AC4" s="61">
        <f>SUM('P106'!$Y4:$AA4)</f>
        <v>9.5</v>
      </c>
      <c r="AD4" s="62">
        <v>1.5</v>
      </c>
      <c r="AE4" s="62">
        <v>7.5</v>
      </c>
      <c r="AF4" s="63" t="str">
        <f>IF('P106'!$AG4&gt;5.9,"SI","NO")</f>
        <v>SI</v>
      </c>
      <c r="AG4" s="64">
        <f>SUM('P106'!$AD4:$AE4)</f>
        <v>9</v>
      </c>
      <c r="AH4" s="65">
        <v>5.0</v>
      </c>
      <c r="AI4" s="65">
        <v>4.5</v>
      </c>
      <c r="AJ4" s="66">
        <f>AVERAGE('P106'!$AH4:$AI4)</f>
        <v>4.75</v>
      </c>
      <c r="AK4" s="142">
        <v>1.0</v>
      </c>
      <c r="AL4" s="143">
        <v>9.0</v>
      </c>
      <c r="AM4" s="144">
        <v>6.5</v>
      </c>
      <c r="AN4" s="46">
        <f>(('P106'!$AL4+'P106'!$AM4))*'P106'!$AK4</f>
        <v>15.5</v>
      </c>
      <c r="AO4" s="70">
        <f t="shared" ref="AO4:AO13" si="1">9*H4</f>
        <v>8.19233091</v>
      </c>
      <c r="AP4" s="71">
        <f>SUM('P106'!$U4)</f>
        <v>32.08441949</v>
      </c>
      <c r="AQ4" s="71">
        <f>SUM(AN4,AJ4,AG4,AC4,X4,'P106'!$AO4)</f>
        <v>61.88421834</v>
      </c>
      <c r="AR4" s="247">
        <f>'P106'!$AP4+'P106'!$AQ4</f>
        <v>93.96863783</v>
      </c>
    </row>
    <row r="5" ht="14.25" customHeight="1">
      <c r="A5" s="250" t="s">
        <v>550</v>
      </c>
      <c r="B5" s="103">
        <v>2.02413258E8</v>
      </c>
      <c r="C5" s="103" t="s">
        <v>551</v>
      </c>
      <c r="D5" s="251">
        <v>1.0</v>
      </c>
      <c r="E5" s="49"/>
      <c r="F5" s="51">
        <v>1.0</v>
      </c>
      <c r="G5" s="51">
        <v>0.993055472</v>
      </c>
      <c r="H5" s="51">
        <v>0.5</v>
      </c>
      <c r="I5" s="274">
        <v>2.25</v>
      </c>
      <c r="J5" s="274">
        <v>2.0</v>
      </c>
      <c r="K5" s="274">
        <v>4.45</v>
      </c>
      <c r="L5" s="55">
        <f>SUM('P106'!$I5:$K5)</f>
        <v>8.7</v>
      </c>
      <c r="M5" s="52">
        <v>3.0</v>
      </c>
      <c r="N5" s="53">
        <v>2.0</v>
      </c>
      <c r="O5" s="54">
        <v>5.0</v>
      </c>
      <c r="P5" s="55">
        <f>SUM('P106'!$M5:$O5)</f>
        <v>10</v>
      </c>
      <c r="Q5" s="274">
        <v>0.0</v>
      </c>
      <c r="R5" s="274">
        <v>2.0</v>
      </c>
      <c r="S5" s="274">
        <v>5.0</v>
      </c>
      <c r="T5" s="55">
        <f>SUM('P106'!$Q5:$S5)</f>
        <v>7</v>
      </c>
      <c r="U5" s="56">
        <f>('P106'!$L5+'P106'!$P5+'P106'!$T5)*'P106'!$F5</f>
        <v>25.7</v>
      </c>
      <c r="V5" s="276">
        <v>2.05</v>
      </c>
      <c r="W5" s="274">
        <v>7.3</v>
      </c>
      <c r="X5" s="58">
        <f>SUM('P106'!$V5:$W5)*'P106'!$G5</f>
        <v>9.285068663</v>
      </c>
      <c r="Y5" s="59">
        <v>0.0</v>
      </c>
      <c r="Z5" s="275">
        <v>0.0</v>
      </c>
      <c r="AA5" s="275">
        <v>0.0</v>
      </c>
      <c r="AB5" s="60" t="str">
        <f>IF(SUM('P106'!$Y5:$AA5)&gt;5.9,"SI","NO")</f>
        <v>NO</v>
      </c>
      <c r="AC5" s="61">
        <f>SUM('P106'!$Y5:$AA5)</f>
        <v>0</v>
      </c>
      <c r="AD5" s="62">
        <v>1.3</v>
      </c>
      <c r="AE5" s="62">
        <v>4.2</v>
      </c>
      <c r="AF5" s="63" t="str">
        <f>IF('P106'!$AG5&gt;5.9,"SI","NO")</f>
        <v>NO</v>
      </c>
      <c r="AG5" s="64">
        <f>SUM('P106'!$AD5:$AE5)</f>
        <v>5.5</v>
      </c>
      <c r="AH5" s="65">
        <v>2.5</v>
      </c>
      <c r="AI5" s="65">
        <v>2.5</v>
      </c>
      <c r="AJ5" s="66">
        <f>AVERAGE('P106'!$AH5:$AI5)</f>
        <v>2.5</v>
      </c>
      <c r="AK5" s="142">
        <v>0.0</v>
      </c>
      <c r="AL5" s="143">
        <v>0.0</v>
      </c>
      <c r="AM5" s="144">
        <v>0.0</v>
      </c>
      <c r="AN5" s="46">
        <f>(('P106'!$AL5+'P106'!$AM5))*'P106'!$AK5</f>
        <v>0</v>
      </c>
      <c r="AO5" s="70">
        <f t="shared" si="1"/>
        <v>4.5</v>
      </c>
      <c r="AP5" s="71">
        <f>SUM('P106'!$U5)</f>
        <v>25.7</v>
      </c>
      <c r="AQ5" s="71">
        <f>SUM(AN5,AJ5,AG5,AC5,X5,'P106'!$AO5)</f>
        <v>21.78506866</v>
      </c>
      <c r="AR5" s="247">
        <f>'P106'!$AP5+'P106'!$AQ5</f>
        <v>47.48506866</v>
      </c>
    </row>
    <row r="6" ht="14.25" customHeight="1">
      <c r="A6" s="250" t="s">
        <v>552</v>
      </c>
      <c r="B6" s="103">
        <v>2.02214482E8</v>
      </c>
      <c r="C6" s="103" t="s">
        <v>553</v>
      </c>
      <c r="D6" s="251">
        <v>3.0</v>
      </c>
      <c r="E6" s="49"/>
      <c r="F6" s="51">
        <v>1.0</v>
      </c>
      <c r="G6" s="51">
        <v>1.0</v>
      </c>
      <c r="H6" s="51">
        <v>1.0</v>
      </c>
      <c r="I6" s="274">
        <v>2.25</v>
      </c>
      <c r="J6" s="274">
        <v>2.0</v>
      </c>
      <c r="K6" s="274">
        <v>5.0</v>
      </c>
      <c r="L6" s="55">
        <f>SUM('P106'!$I6:$K6)</f>
        <v>9.25</v>
      </c>
      <c r="M6" s="52">
        <v>3.0</v>
      </c>
      <c r="N6" s="53">
        <v>2.0</v>
      </c>
      <c r="O6" s="54">
        <v>5.0</v>
      </c>
      <c r="P6" s="55">
        <f>SUM('P106'!$M6:$O6)</f>
        <v>10</v>
      </c>
      <c r="Q6" s="274">
        <v>1.5</v>
      </c>
      <c r="R6" s="274">
        <v>2.0</v>
      </c>
      <c r="S6" s="274">
        <v>4.3</v>
      </c>
      <c r="T6" s="55">
        <f>SUM('P106'!$Q6:$S6)</f>
        <v>7.8</v>
      </c>
      <c r="U6" s="56">
        <f>('P106'!$L6+'P106'!$P6+'P106'!$T6)*'P106'!$F6</f>
        <v>27.05</v>
      </c>
      <c r="V6" s="274">
        <v>2.95</v>
      </c>
      <c r="W6" s="274">
        <v>9.1</v>
      </c>
      <c r="X6" s="58">
        <f>SUM('P106'!$V6:$W6)*'P106'!$G6</f>
        <v>12.05</v>
      </c>
      <c r="Y6" s="59">
        <v>1.5</v>
      </c>
      <c r="Z6" s="275">
        <v>0.0</v>
      </c>
      <c r="AA6" s="275">
        <v>4.5</v>
      </c>
      <c r="AB6" s="60" t="str">
        <f>IF(SUM('P106'!$Y6:$AA6)&gt;5.9,"SI","NO")</f>
        <v>SI</v>
      </c>
      <c r="AC6" s="61">
        <f>SUM('P106'!$Y6:$AA6)</f>
        <v>6</v>
      </c>
      <c r="AD6" s="62">
        <v>1.9</v>
      </c>
      <c r="AE6" s="62">
        <v>0.0</v>
      </c>
      <c r="AF6" s="63" t="str">
        <f>IF('P106'!$AG6&gt;5.9,"SI","NO")</f>
        <v>NO</v>
      </c>
      <c r="AG6" s="64">
        <f>SUM('P106'!$AD6:$AE6)</f>
        <v>1.9</v>
      </c>
      <c r="AH6" s="65">
        <v>2.5</v>
      </c>
      <c r="AI6" s="65">
        <v>2.5</v>
      </c>
      <c r="AJ6" s="66">
        <f>AVERAGE('P106'!$AH6:$AI6)</f>
        <v>2.5</v>
      </c>
      <c r="AK6" s="142">
        <v>0.0</v>
      </c>
      <c r="AL6" s="143">
        <v>0.0</v>
      </c>
      <c r="AM6" s="144">
        <v>0.0</v>
      </c>
      <c r="AN6" s="46">
        <f>(('P106'!$AL6+'P106'!$AM6))*'P106'!$AK6</f>
        <v>0</v>
      </c>
      <c r="AO6" s="70">
        <f t="shared" si="1"/>
        <v>9</v>
      </c>
      <c r="AP6" s="71">
        <f>SUM('P106'!$U6)</f>
        <v>27.05</v>
      </c>
      <c r="AQ6" s="71">
        <f>SUM(AN6,AJ6,AG6,AC6,X6,'P106'!$AO6)</f>
        <v>31.45</v>
      </c>
      <c r="AR6" s="247">
        <f>'P106'!$AP6+'P106'!$AQ6</f>
        <v>58.5</v>
      </c>
    </row>
    <row r="7" ht="14.25" customHeight="1">
      <c r="A7" s="250" t="s">
        <v>554</v>
      </c>
      <c r="B7" s="103">
        <v>2.02400966E8</v>
      </c>
      <c r="C7" s="103" t="s">
        <v>555</v>
      </c>
      <c r="D7" s="251">
        <v>9.0</v>
      </c>
      <c r="E7" s="49"/>
      <c r="F7" s="51">
        <v>1.0</v>
      </c>
      <c r="G7" s="51">
        <v>0.99659863</v>
      </c>
      <c r="H7" s="51">
        <v>0.985027776</v>
      </c>
      <c r="I7" s="274">
        <v>3.0</v>
      </c>
      <c r="J7" s="274">
        <v>0.75</v>
      </c>
      <c r="K7" s="276">
        <v>4.1</v>
      </c>
      <c r="L7" s="55">
        <f>SUM('P106'!$I7:$K7)</f>
        <v>7.85</v>
      </c>
      <c r="M7" s="52">
        <v>3.0</v>
      </c>
      <c r="N7" s="53">
        <v>2.0</v>
      </c>
      <c r="O7" s="54">
        <v>5.0</v>
      </c>
      <c r="P7" s="55">
        <f>SUM('P106'!$M7:$O7)</f>
        <v>10</v>
      </c>
      <c r="Q7" s="274">
        <v>2.25</v>
      </c>
      <c r="R7" s="274">
        <v>1.5</v>
      </c>
      <c r="S7" s="277">
        <v>5.0</v>
      </c>
      <c r="T7" s="55">
        <f>SUM('P106'!$Q7:$S7)</f>
        <v>8.75</v>
      </c>
      <c r="U7" s="56">
        <f>('P106'!$L7+'P106'!$P7+'P106'!$T7)*'P106'!$F7</f>
        <v>26.6</v>
      </c>
      <c r="V7" s="274">
        <v>5.0</v>
      </c>
      <c r="W7" s="274">
        <v>7.3</v>
      </c>
      <c r="X7" s="58">
        <f>SUM('P106'!$V7:$W7)*'P106'!$G7</f>
        <v>12.25816315</v>
      </c>
      <c r="Y7" s="59">
        <v>1.0</v>
      </c>
      <c r="Z7" s="275">
        <v>1.5</v>
      </c>
      <c r="AA7" s="275">
        <v>3.75</v>
      </c>
      <c r="AB7" s="60" t="str">
        <f>IF(SUM('P106'!$Y7:$AA7)&gt;5.9,"SI","NO")</f>
        <v>SI</v>
      </c>
      <c r="AC7" s="61">
        <f>SUM('P106'!$Y7:$AA7)</f>
        <v>6.25</v>
      </c>
      <c r="AD7" s="62">
        <v>2.0</v>
      </c>
      <c r="AE7" s="62">
        <v>6.0</v>
      </c>
      <c r="AF7" s="63" t="str">
        <f>IF('P106'!$AG7&gt;5.9,"SI","NO")</f>
        <v>SI</v>
      </c>
      <c r="AG7" s="64">
        <f>SUM('P106'!$AD7:$AE7)</f>
        <v>8</v>
      </c>
      <c r="AH7" s="65">
        <v>4.5</v>
      </c>
      <c r="AI7" s="65">
        <v>4.25</v>
      </c>
      <c r="AJ7" s="66">
        <f>AVERAGE('P106'!$AH7:$AI7)</f>
        <v>4.375</v>
      </c>
      <c r="AK7" s="142">
        <v>1.0</v>
      </c>
      <c r="AL7" s="143">
        <v>5.0</v>
      </c>
      <c r="AM7" s="144">
        <v>6.5</v>
      </c>
      <c r="AN7" s="46">
        <f>(('P106'!$AL7+'P106'!$AM7))*'P106'!$AK7</f>
        <v>11.5</v>
      </c>
      <c r="AO7" s="70">
        <f t="shared" si="1"/>
        <v>8.865249984</v>
      </c>
      <c r="AP7" s="71">
        <f>SUM('P106'!$U7)</f>
        <v>26.6</v>
      </c>
      <c r="AQ7" s="71">
        <f>SUM(AN7,AJ7,AG7,AC7,X7,'P106'!$AO7)</f>
        <v>51.24841313</v>
      </c>
      <c r="AR7" s="247">
        <f>'P106'!$AP7+'P106'!$AQ7</f>
        <v>77.84841313</v>
      </c>
    </row>
    <row r="8" ht="14.25" customHeight="1">
      <c r="A8" s="250" t="s">
        <v>556</v>
      </c>
      <c r="B8" s="103">
        <v>2.02215323E8</v>
      </c>
      <c r="C8" s="103" t="s">
        <v>557</v>
      </c>
      <c r="D8" s="251">
        <v>10.0</v>
      </c>
      <c r="E8" s="49"/>
      <c r="F8" s="51">
        <v>1.044465936</v>
      </c>
      <c r="G8" s="51">
        <v>1.032795559</v>
      </c>
      <c r="H8" s="51">
        <v>1.017095255</v>
      </c>
      <c r="I8" s="274">
        <v>3.0</v>
      </c>
      <c r="J8" s="274">
        <v>1.25</v>
      </c>
      <c r="K8" s="274">
        <v>4.35</v>
      </c>
      <c r="L8" s="55">
        <f>SUM('P106'!$I8:$K8)</f>
        <v>8.6</v>
      </c>
      <c r="M8" s="52">
        <v>3.0</v>
      </c>
      <c r="N8" s="53">
        <v>2.0</v>
      </c>
      <c r="O8" s="54">
        <v>5.0</v>
      </c>
      <c r="P8" s="55">
        <f>SUM('P106'!$M8:$O8)</f>
        <v>10</v>
      </c>
      <c r="Q8" s="274">
        <v>3.0</v>
      </c>
      <c r="R8" s="274">
        <v>2.0</v>
      </c>
      <c r="S8" s="277">
        <v>5.0</v>
      </c>
      <c r="T8" s="55">
        <f>SUM('P106'!$Q8:$S8)</f>
        <v>10</v>
      </c>
      <c r="U8" s="56">
        <f>('P106'!$L8+'P106'!$P8+'P106'!$T8)*'P106'!$F8</f>
        <v>29.87172577</v>
      </c>
      <c r="V8" s="274">
        <v>4.55</v>
      </c>
      <c r="W8" s="274">
        <v>10.0</v>
      </c>
      <c r="X8" s="58">
        <f>SUM('P106'!$V8:$W8)*'P106'!$G8</f>
        <v>15.02717538</v>
      </c>
      <c r="Y8" s="59">
        <v>1.0</v>
      </c>
      <c r="Z8" s="275">
        <v>2.0</v>
      </c>
      <c r="AA8" s="275">
        <v>3.0</v>
      </c>
      <c r="AB8" s="60" t="str">
        <f>IF(SUM('P106'!$Y8:$AA8)&gt;5.9,"SI","NO")</f>
        <v>SI</v>
      </c>
      <c r="AC8" s="61">
        <f>SUM('P106'!$Y8:$AA8)</f>
        <v>6</v>
      </c>
      <c r="AD8" s="62">
        <v>2.0</v>
      </c>
      <c r="AE8" s="62">
        <v>4.0</v>
      </c>
      <c r="AF8" s="63" t="str">
        <f>IF('P106'!$AG8&gt;5.9,"SI","NO")</f>
        <v>SI</v>
      </c>
      <c r="AG8" s="64">
        <f>SUM('P106'!$AD8:$AE8)</f>
        <v>6</v>
      </c>
      <c r="AH8" s="65">
        <v>4.0</v>
      </c>
      <c r="AI8" s="65">
        <v>4.0</v>
      </c>
      <c r="AJ8" s="66">
        <f>AVERAGE('P106'!$AH8:$AI8)</f>
        <v>4</v>
      </c>
      <c r="AK8" s="142">
        <v>1.0</v>
      </c>
      <c r="AL8" s="143">
        <v>10.0</v>
      </c>
      <c r="AM8" s="144">
        <v>6.0</v>
      </c>
      <c r="AN8" s="46">
        <f>(('P106'!$AL8+'P106'!$AM8))*'P106'!$AK8</f>
        <v>16</v>
      </c>
      <c r="AO8" s="70">
        <f t="shared" si="1"/>
        <v>9.153857295</v>
      </c>
      <c r="AP8" s="71">
        <f>SUM('P106'!$U8)</f>
        <v>29.87172577</v>
      </c>
      <c r="AQ8" s="71">
        <f>SUM(AN8,AJ8,AG8,AC8,X8,'P106'!$AO8)</f>
        <v>56.18103268</v>
      </c>
      <c r="AR8" s="247">
        <f>'P106'!$AP8+'P106'!$AQ8</f>
        <v>86.05275845</v>
      </c>
    </row>
    <row r="9" ht="14.25" customHeight="1">
      <c r="A9" s="250" t="s">
        <v>558</v>
      </c>
      <c r="B9" s="103">
        <v>2.0251016E8</v>
      </c>
      <c r="C9" s="103" t="s">
        <v>559</v>
      </c>
      <c r="D9" s="251">
        <v>1.0</v>
      </c>
      <c r="E9" s="49"/>
      <c r="F9" s="51">
        <v>1.0</v>
      </c>
      <c r="G9" s="51">
        <v>0.993055472</v>
      </c>
      <c r="H9" s="51">
        <v>1.001760255</v>
      </c>
      <c r="I9" s="274">
        <v>3.0</v>
      </c>
      <c r="J9" s="274">
        <v>2.0</v>
      </c>
      <c r="K9" s="274">
        <v>4.45</v>
      </c>
      <c r="L9" s="55">
        <f>SUM('P106'!$I9:$K9)</f>
        <v>9.45</v>
      </c>
      <c r="M9" s="52">
        <v>0.0</v>
      </c>
      <c r="N9" s="53">
        <v>0.0</v>
      </c>
      <c r="O9" s="54">
        <v>0.0</v>
      </c>
      <c r="P9" s="55">
        <f>SUM('P106'!$M9:$O9)</f>
        <v>0</v>
      </c>
      <c r="Q9" s="274">
        <v>1.5</v>
      </c>
      <c r="R9" s="274">
        <v>2.0</v>
      </c>
      <c r="S9" s="274">
        <v>0.0</v>
      </c>
      <c r="T9" s="55">
        <f>SUM('P106'!$Q9:$S9)</f>
        <v>3.5</v>
      </c>
      <c r="U9" s="56">
        <f>('P106'!$L9+'P106'!$P9+'P106'!$T9)*'P106'!$F9</f>
        <v>12.95</v>
      </c>
      <c r="V9" s="276">
        <v>2.05</v>
      </c>
      <c r="W9" s="274">
        <v>7.3</v>
      </c>
      <c r="X9" s="58">
        <f>SUM('P106'!$V9:$W9)*'P106'!$G9</f>
        <v>9.285068663</v>
      </c>
      <c r="Y9" s="59">
        <v>2.0</v>
      </c>
      <c r="Z9" s="275">
        <v>1.5</v>
      </c>
      <c r="AA9" s="275">
        <v>1.25</v>
      </c>
      <c r="AB9" s="60" t="str">
        <f>IF(SUM('P106'!$Y9:$AA9)&gt;5.9,"SI","NO")</f>
        <v>NO</v>
      </c>
      <c r="AC9" s="61">
        <f>SUM('P106'!$Y9:$AA9)</f>
        <v>4.75</v>
      </c>
      <c r="AD9" s="62">
        <v>1.3</v>
      </c>
      <c r="AE9" s="62">
        <v>4.2</v>
      </c>
      <c r="AF9" s="63" t="str">
        <f>IF('P106'!$AG9&gt;5.9,"SI","NO")</f>
        <v>NO</v>
      </c>
      <c r="AG9" s="64">
        <f>SUM('P106'!$AD9:$AE9)</f>
        <v>5.5</v>
      </c>
      <c r="AH9" s="65">
        <v>2.5</v>
      </c>
      <c r="AI9" s="65">
        <v>2.5</v>
      </c>
      <c r="AJ9" s="66">
        <f>AVERAGE('P106'!$AH9:$AI9)</f>
        <v>2.5</v>
      </c>
      <c r="AK9" s="142">
        <v>0.0</v>
      </c>
      <c r="AL9" s="143">
        <v>0.0</v>
      </c>
      <c r="AM9" s="144">
        <v>0.0</v>
      </c>
      <c r="AN9" s="46">
        <f>(('P106'!$AL9+'P106'!$AM9))*'P106'!$AK9</f>
        <v>0</v>
      </c>
      <c r="AO9" s="70">
        <f t="shared" si="1"/>
        <v>9.015842295</v>
      </c>
      <c r="AP9" s="71">
        <f>SUM('P106'!$U9)</f>
        <v>12.95</v>
      </c>
      <c r="AQ9" s="71">
        <f>SUM(AN9,AJ9,AG9,AC9,X9,'P106'!$AO9)</f>
        <v>31.05091096</v>
      </c>
      <c r="AR9" s="247">
        <f>'P106'!$AP9+'P106'!$AQ9</f>
        <v>44.00091096</v>
      </c>
    </row>
    <row r="10" ht="14.25" customHeight="1">
      <c r="A10" s="250" t="s">
        <v>560</v>
      </c>
      <c r="B10" s="103">
        <v>2.02509212E8</v>
      </c>
      <c r="C10" s="103" t="s">
        <v>561</v>
      </c>
      <c r="D10" s="251">
        <v>10.0</v>
      </c>
      <c r="E10" s="49"/>
      <c r="F10" s="51">
        <v>1.044465936</v>
      </c>
      <c r="G10" s="51">
        <v>1.032795559</v>
      </c>
      <c r="H10" s="51">
        <v>1.017095255</v>
      </c>
      <c r="I10" s="274">
        <v>2.25</v>
      </c>
      <c r="J10" s="274">
        <v>1.25</v>
      </c>
      <c r="K10" s="274">
        <v>4.35</v>
      </c>
      <c r="L10" s="55">
        <f>SUM('P106'!$I10:$K10)</f>
        <v>7.85</v>
      </c>
      <c r="M10" s="52">
        <v>3.0</v>
      </c>
      <c r="N10" s="53">
        <v>2.0</v>
      </c>
      <c r="O10" s="54">
        <v>5.0</v>
      </c>
      <c r="P10" s="55">
        <f>SUM('P106'!$M10:$O10)</f>
        <v>10</v>
      </c>
      <c r="Q10" s="274">
        <v>2.25</v>
      </c>
      <c r="R10" s="274">
        <v>2.0</v>
      </c>
      <c r="S10" s="277">
        <v>5.0</v>
      </c>
      <c r="T10" s="55">
        <f>SUM('P106'!$Q10:$S10)</f>
        <v>9.25</v>
      </c>
      <c r="U10" s="56">
        <f>('P106'!$L10+'P106'!$P10+'P106'!$T10)*'P106'!$F10</f>
        <v>28.30502687</v>
      </c>
      <c r="V10" s="274">
        <v>4.55</v>
      </c>
      <c r="W10" s="274">
        <v>10.0</v>
      </c>
      <c r="X10" s="58">
        <f>SUM('P106'!$V10:$W10)*'P106'!$G10</f>
        <v>15.02717538</v>
      </c>
      <c r="Y10" s="59">
        <v>1.5</v>
      </c>
      <c r="Z10" s="275">
        <v>1.5</v>
      </c>
      <c r="AA10" s="275">
        <v>3.75</v>
      </c>
      <c r="AB10" s="60" t="str">
        <f>IF(SUM('P106'!$Y10:$AA10)&gt;5.9,"SI","NO")</f>
        <v>SI</v>
      </c>
      <c r="AC10" s="61">
        <f>SUM('P106'!$Y10:$AA10)</f>
        <v>6.75</v>
      </c>
      <c r="AD10" s="62">
        <v>2.0</v>
      </c>
      <c r="AE10" s="62">
        <v>4.0</v>
      </c>
      <c r="AF10" s="63" t="str">
        <f>IF('P106'!$AG10&gt;5.9,"SI","NO")</f>
        <v>SI</v>
      </c>
      <c r="AG10" s="64">
        <f>SUM('P106'!$AD10:$AE10)</f>
        <v>6</v>
      </c>
      <c r="AH10" s="65">
        <v>4.0</v>
      </c>
      <c r="AI10" s="65">
        <v>4.0</v>
      </c>
      <c r="AJ10" s="66">
        <f>AVERAGE('P106'!$AH10:$AI10)</f>
        <v>4</v>
      </c>
      <c r="AK10" s="142">
        <v>1.0</v>
      </c>
      <c r="AL10" s="143">
        <v>10.0</v>
      </c>
      <c r="AM10" s="144">
        <v>7.0</v>
      </c>
      <c r="AN10" s="46">
        <f>(('P106'!$AL10+'P106'!$AM10))*'P106'!$AK10</f>
        <v>17</v>
      </c>
      <c r="AO10" s="70">
        <f t="shared" si="1"/>
        <v>9.153857295</v>
      </c>
      <c r="AP10" s="71">
        <f>SUM('P106'!$U10)</f>
        <v>28.30502687</v>
      </c>
      <c r="AQ10" s="71">
        <f>SUM(AN10,AJ10,AG10,AC10,X10,'P106'!$AO10)</f>
        <v>57.93103268</v>
      </c>
      <c r="AR10" s="247">
        <f>'P106'!$AP10+'P106'!$AQ10</f>
        <v>86.23605954</v>
      </c>
    </row>
    <row r="11" ht="14.25" customHeight="1">
      <c r="A11" s="250" t="s">
        <v>562</v>
      </c>
      <c r="B11" s="103">
        <v>2.02508727E8</v>
      </c>
      <c r="C11" s="103" t="s">
        <v>563</v>
      </c>
      <c r="D11" s="251">
        <v>5.0</v>
      </c>
      <c r="E11" s="49"/>
      <c r="F11" s="51">
        <v>1.0</v>
      </c>
      <c r="G11" s="51">
        <v>1.0</v>
      </c>
      <c r="H11" s="51">
        <v>1.0</v>
      </c>
      <c r="I11" s="274">
        <v>2.25</v>
      </c>
      <c r="J11" s="274">
        <v>2.0</v>
      </c>
      <c r="K11" s="274">
        <v>4.9</v>
      </c>
      <c r="L11" s="55">
        <f>SUM('P106'!$I11:$K11)</f>
        <v>9.15</v>
      </c>
      <c r="M11" s="52">
        <v>3.0</v>
      </c>
      <c r="N11" s="53">
        <v>2.0</v>
      </c>
      <c r="O11" s="54">
        <v>5.0</v>
      </c>
      <c r="P11" s="55">
        <f>SUM('P106'!$M11:$O11)</f>
        <v>10</v>
      </c>
      <c r="Q11" s="274">
        <v>2.25</v>
      </c>
      <c r="R11" s="274">
        <v>1.5</v>
      </c>
      <c r="S11" s="274">
        <v>4.0</v>
      </c>
      <c r="T11" s="55">
        <f>SUM('P106'!$Q11:$S11)</f>
        <v>7.75</v>
      </c>
      <c r="U11" s="56">
        <f>('P106'!$L11+'P106'!$P11+'P106'!$T11)*'P106'!$F11</f>
        <v>26.9</v>
      </c>
      <c r="V11" s="274">
        <v>3.0</v>
      </c>
      <c r="W11" s="274">
        <v>7.7</v>
      </c>
      <c r="X11" s="58">
        <f>SUM('P106'!$V11:$W11)*'P106'!$G11</f>
        <v>10.7</v>
      </c>
      <c r="Y11" s="59">
        <v>2.0</v>
      </c>
      <c r="Z11" s="275">
        <v>0.0</v>
      </c>
      <c r="AA11" s="275">
        <v>0.0</v>
      </c>
      <c r="AB11" s="60" t="str">
        <f>IF(SUM('P106'!$Y11:$AA11)&gt;5.9,"SI","NO")</f>
        <v>NO</v>
      </c>
      <c r="AC11" s="61">
        <f>SUM('P106'!$Y11:$AA11)</f>
        <v>2</v>
      </c>
      <c r="AD11" s="62">
        <v>1.8</v>
      </c>
      <c r="AE11" s="62">
        <v>6.7</v>
      </c>
      <c r="AF11" s="63" t="str">
        <f>IF('P106'!$AG11&gt;5.9,"SI","NO")</f>
        <v>SI</v>
      </c>
      <c r="AG11" s="64">
        <f>SUM('P106'!$AD11:$AE11)</f>
        <v>8.5</v>
      </c>
      <c r="AH11" s="65">
        <v>3.0</v>
      </c>
      <c r="AI11" s="65">
        <v>2.0</v>
      </c>
      <c r="AJ11" s="66">
        <f>AVERAGE('P106'!$AH11:$AI11)</f>
        <v>2.5</v>
      </c>
      <c r="AK11" s="142">
        <v>1.0</v>
      </c>
      <c r="AL11" s="143">
        <v>0.0</v>
      </c>
      <c r="AM11" s="144">
        <v>0.0</v>
      </c>
      <c r="AN11" s="46">
        <f>(('P106'!$AL11+'P106'!$AM11))*'P106'!$AK11</f>
        <v>0</v>
      </c>
      <c r="AO11" s="70">
        <f t="shared" si="1"/>
        <v>9</v>
      </c>
      <c r="AP11" s="71">
        <f>SUM('P106'!$U11)</f>
        <v>26.9</v>
      </c>
      <c r="AQ11" s="71">
        <f>SUM(AN11,AJ11,AG11,AC11,X11,'P106'!$AO11)</f>
        <v>32.7</v>
      </c>
      <c r="AR11" s="247">
        <f>'P106'!$AP11+'P106'!$AQ11</f>
        <v>59.6</v>
      </c>
    </row>
    <row r="12" ht="14.25" customHeight="1">
      <c r="A12" s="250" t="s">
        <v>564</v>
      </c>
      <c r="B12" s="103">
        <v>2.02411997E8</v>
      </c>
      <c r="C12" s="103" t="s">
        <v>565</v>
      </c>
      <c r="D12" s="251">
        <v>9.0</v>
      </c>
      <c r="E12" s="49"/>
      <c r="F12" s="51">
        <v>1.0</v>
      </c>
      <c r="G12" s="51">
        <v>0.99659863</v>
      </c>
      <c r="H12" s="51">
        <v>0.98945489</v>
      </c>
      <c r="I12" s="274">
        <v>0.75</v>
      </c>
      <c r="J12" s="274">
        <v>0.75</v>
      </c>
      <c r="K12" s="276">
        <v>4.1</v>
      </c>
      <c r="L12" s="55">
        <f>SUM('P106'!$I12:$K12)</f>
        <v>5.6</v>
      </c>
      <c r="M12" s="52">
        <v>3.0</v>
      </c>
      <c r="N12" s="53">
        <v>2.0</v>
      </c>
      <c r="O12" s="54">
        <v>5.0</v>
      </c>
      <c r="P12" s="55">
        <f>SUM('P106'!$M12:$O12)</f>
        <v>10</v>
      </c>
      <c r="Q12" s="274">
        <v>1.5</v>
      </c>
      <c r="R12" s="274">
        <v>1.5</v>
      </c>
      <c r="S12" s="277">
        <v>0.0</v>
      </c>
      <c r="T12" s="55">
        <f>SUM('P106'!$Q12:$S12)</f>
        <v>3</v>
      </c>
      <c r="U12" s="56">
        <f>('P106'!$L12+'P106'!$P12+'P106'!$T12)*'P106'!$F12</f>
        <v>18.6</v>
      </c>
      <c r="V12" s="274">
        <v>5.0</v>
      </c>
      <c r="W12" s="274">
        <v>7.3</v>
      </c>
      <c r="X12" s="58">
        <f>SUM('P106'!$V12:$W12)*'P106'!$G12</f>
        <v>12.25816315</v>
      </c>
      <c r="Y12" s="59">
        <v>1.5</v>
      </c>
      <c r="Z12" s="275">
        <v>1.5</v>
      </c>
      <c r="AA12" s="275">
        <v>3.75</v>
      </c>
      <c r="AB12" s="60" t="str">
        <f>IF(SUM('P106'!$Y12:$AA12)&gt;5.9,"SI","NO")</f>
        <v>SI</v>
      </c>
      <c r="AC12" s="61">
        <f>SUM('P106'!$Y12:$AA12)</f>
        <v>6.75</v>
      </c>
      <c r="AD12" s="62">
        <v>2.0</v>
      </c>
      <c r="AE12" s="62">
        <v>6.0</v>
      </c>
      <c r="AF12" s="63" t="str">
        <f>IF('P106'!$AG12&gt;5.9,"SI","NO")</f>
        <v>SI</v>
      </c>
      <c r="AG12" s="64">
        <f>SUM('P106'!$AD12:$AE12)</f>
        <v>8</v>
      </c>
      <c r="AH12" s="65">
        <v>4.5</v>
      </c>
      <c r="AI12" s="65">
        <v>4.25</v>
      </c>
      <c r="AJ12" s="66">
        <f>AVERAGE('P106'!$AH12:$AI12)</f>
        <v>4.375</v>
      </c>
      <c r="AK12" s="142">
        <v>1.0</v>
      </c>
      <c r="AL12" s="143">
        <v>7.0</v>
      </c>
      <c r="AM12" s="144">
        <v>7.0</v>
      </c>
      <c r="AN12" s="46">
        <f>(('P106'!$AL12+'P106'!$AM12))*'P106'!$AK12</f>
        <v>14</v>
      </c>
      <c r="AO12" s="70">
        <f t="shared" si="1"/>
        <v>8.90509401</v>
      </c>
      <c r="AP12" s="71">
        <f>SUM('P106'!$U12)</f>
        <v>18.6</v>
      </c>
      <c r="AQ12" s="71">
        <f>SUM(AN12,AJ12,AG12,AC12,X12,'P106'!$AO12)</f>
        <v>54.28825716</v>
      </c>
      <c r="AR12" s="247">
        <f>'P106'!$AP12+'P106'!$AQ12</f>
        <v>72.88825716</v>
      </c>
    </row>
    <row r="13" ht="14.25" customHeight="1">
      <c r="A13" s="250" t="s">
        <v>566</v>
      </c>
      <c r="B13" s="103">
        <v>2.02506945E8</v>
      </c>
      <c r="C13" s="103" t="s">
        <v>567</v>
      </c>
      <c r="D13" s="251">
        <v>6.0</v>
      </c>
      <c r="E13" s="49"/>
      <c r="F13" s="51">
        <v>1.0</v>
      </c>
      <c r="G13" s="51">
        <v>1.0</v>
      </c>
      <c r="H13" s="51">
        <v>1.0</v>
      </c>
      <c r="I13" s="274">
        <v>2.25</v>
      </c>
      <c r="J13" s="274">
        <v>2.0</v>
      </c>
      <c r="K13" s="274">
        <v>4.9</v>
      </c>
      <c r="L13" s="55">
        <f>SUM('P106'!$I13:$K13)</f>
        <v>9.15</v>
      </c>
      <c r="M13" s="52">
        <v>3.0</v>
      </c>
      <c r="N13" s="53">
        <v>2.0</v>
      </c>
      <c r="O13" s="54">
        <v>5.0</v>
      </c>
      <c r="P13" s="55">
        <f>SUM('P106'!$M13:$O13)</f>
        <v>10</v>
      </c>
      <c r="Q13" s="274">
        <v>2.25</v>
      </c>
      <c r="R13" s="274">
        <v>2.0</v>
      </c>
      <c r="S13" s="274">
        <v>4.4</v>
      </c>
      <c r="T13" s="55">
        <f>SUM('P106'!$Q13:$S13)</f>
        <v>8.65</v>
      </c>
      <c r="U13" s="56">
        <f>('P106'!$L13+'P106'!$P13+'P106'!$T13)*'P106'!$F13</f>
        <v>27.8</v>
      </c>
      <c r="V13" s="274">
        <v>4.8</v>
      </c>
      <c r="W13" s="274">
        <v>6.4</v>
      </c>
      <c r="X13" s="58">
        <f>SUM('P106'!$V13:$W13)*'P106'!$G13</f>
        <v>11.2</v>
      </c>
      <c r="Y13" s="59">
        <v>0.0</v>
      </c>
      <c r="Z13" s="275">
        <v>1.5</v>
      </c>
      <c r="AA13" s="275">
        <v>4.5</v>
      </c>
      <c r="AB13" s="60" t="str">
        <f>IF(SUM('P106'!$Y13:$AA13)&gt;5.9,"SI","NO")</f>
        <v>SI</v>
      </c>
      <c r="AC13" s="61">
        <f>SUM('P106'!$Y13:$AA13)</f>
        <v>6</v>
      </c>
      <c r="AD13" s="62">
        <v>0.75</v>
      </c>
      <c r="AE13" s="62">
        <v>6.0</v>
      </c>
      <c r="AF13" s="63" t="str">
        <f>IF('P106'!$AG13&gt;5.9,"SI","NO")</f>
        <v>SI</v>
      </c>
      <c r="AG13" s="64">
        <f>SUM('P106'!$AD13:$AE13)</f>
        <v>6.75</v>
      </c>
      <c r="AH13" s="65">
        <v>3.0</v>
      </c>
      <c r="AI13" s="65">
        <v>3.0</v>
      </c>
      <c r="AJ13" s="66">
        <f>AVERAGE('P106'!$AH13:$AI13)</f>
        <v>3</v>
      </c>
      <c r="AK13" s="142">
        <v>1.0</v>
      </c>
      <c r="AL13" s="143">
        <v>6.0</v>
      </c>
      <c r="AM13" s="144">
        <v>6.0</v>
      </c>
      <c r="AN13" s="46">
        <f>(('P106'!$AL13+'P106'!$AM13))*'P106'!$AK13</f>
        <v>12</v>
      </c>
      <c r="AO13" s="70">
        <f t="shared" si="1"/>
        <v>9</v>
      </c>
      <c r="AP13" s="71">
        <f>SUM('P106'!$U13)</f>
        <v>27.8</v>
      </c>
      <c r="AQ13" s="71">
        <f>SUM(AN13,AJ13,AG13,AC13,X13,'P106'!$AO13)</f>
        <v>47.95</v>
      </c>
      <c r="AR13" s="247">
        <f>'P106'!$AP13+'P106'!$AQ13</f>
        <v>75.75</v>
      </c>
    </row>
    <row r="14" ht="14.25" customHeight="1">
      <c r="A14" s="250" t="s">
        <v>568</v>
      </c>
      <c r="B14" s="103">
        <v>2.02304671E8</v>
      </c>
      <c r="C14" s="103" t="s">
        <v>569</v>
      </c>
      <c r="D14" s="251">
        <v>4.0</v>
      </c>
      <c r="E14" s="49"/>
      <c r="F14" s="51">
        <v>1.125087901</v>
      </c>
      <c r="G14" s="51">
        <v>1.118033989</v>
      </c>
      <c r="H14" s="51">
        <v>0.5</v>
      </c>
      <c r="I14" s="274">
        <v>3.0</v>
      </c>
      <c r="J14" s="274">
        <v>2.0</v>
      </c>
      <c r="K14" s="274">
        <v>4.6</v>
      </c>
      <c r="L14" s="55">
        <f>SUM('P106'!$I14:$K14)</f>
        <v>9.6</v>
      </c>
      <c r="M14" s="52">
        <v>3.0</v>
      </c>
      <c r="N14" s="53">
        <v>2.0</v>
      </c>
      <c r="O14" s="54">
        <v>5.0</v>
      </c>
      <c r="P14" s="55">
        <f>SUM('P106'!$M14:$O14)</f>
        <v>10</v>
      </c>
      <c r="Q14" s="274">
        <v>2.25</v>
      </c>
      <c r="R14" s="274">
        <v>2.0</v>
      </c>
      <c r="S14" s="274">
        <v>4.9</v>
      </c>
      <c r="T14" s="55">
        <f>SUM('P106'!$Q14:$S14)</f>
        <v>9.15</v>
      </c>
      <c r="U14" s="56">
        <f>('P106'!$L14+'P106'!$P14+'P106'!$T14)*'P106'!$F14</f>
        <v>32.34627715</v>
      </c>
      <c r="V14" s="274">
        <v>2.6</v>
      </c>
      <c r="W14" s="274">
        <v>5.4</v>
      </c>
      <c r="X14" s="58">
        <f>SUM('P106'!$V14:$W14)*'P106'!$G14</f>
        <v>8.944271912</v>
      </c>
      <c r="Y14" s="59">
        <v>1.0</v>
      </c>
      <c r="Z14" s="275">
        <v>0.0</v>
      </c>
      <c r="AA14" s="275">
        <v>3.75</v>
      </c>
      <c r="AB14" s="60" t="str">
        <f>IF(SUM('P106'!$Y14:$AA14)&gt;5.9,"SI","NO")</f>
        <v>NO</v>
      </c>
      <c r="AC14" s="61">
        <f>SUM('P106'!$Y14:$AA14)</f>
        <v>4.75</v>
      </c>
      <c r="AD14" s="62">
        <v>1.0</v>
      </c>
      <c r="AE14" s="62">
        <v>6.0</v>
      </c>
      <c r="AF14" s="63" t="str">
        <f>IF('P106'!$AG14&gt;5.9,"SI","NO")</f>
        <v>SI</v>
      </c>
      <c r="AG14" s="64">
        <f>SUM('P106'!$AD14:$AE14)</f>
        <v>7</v>
      </c>
      <c r="AH14" s="65">
        <v>3.5</v>
      </c>
      <c r="AI14" s="65">
        <v>3.0</v>
      </c>
      <c r="AJ14" s="66">
        <f>AVERAGE('P106'!$AH14:$AI14)</f>
        <v>3.25</v>
      </c>
      <c r="AK14" s="142">
        <v>1.0</v>
      </c>
      <c r="AL14" s="143">
        <v>0.0</v>
      </c>
      <c r="AM14" s="143">
        <v>0.0</v>
      </c>
      <c r="AN14" s="46">
        <f>(('P106'!$AL14+'P106'!$AM14))*'P106'!$AK14</f>
        <v>0</v>
      </c>
      <c r="AO14" s="70">
        <f>10*H14</f>
        <v>5</v>
      </c>
      <c r="AP14" s="71">
        <f>SUM('P106'!$U14)</f>
        <v>32.34627715</v>
      </c>
      <c r="AQ14" s="71">
        <f>SUM(AN14,AJ14,AG14,AC14,X14,'P106'!$AO14)</f>
        <v>28.94427191</v>
      </c>
      <c r="AR14" s="247">
        <f>'P106'!$AP14+'P106'!$AQ14</f>
        <v>61.29054907</v>
      </c>
    </row>
    <row r="15" ht="14.25" customHeight="1">
      <c r="A15" s="250" t="s">
        <v>570</v>
      </c>
      <c r="B15" s="103">
        <v>2.02412789E8</v>
      </c>
      <c r="C15" s="103" t="s">
        <v>571</v>
      </c>
      <c r="D15" s="251">
        <v>8.0</v>
      </c>
      <c r="E15" s="49"/>
      <c r="F15" s="51">
        <v>1.029977558</v>
      </c>
      <c r="G15" s="51">
        <v>1.034461551</v>
      </c>
      <c r="H15" s="51">
        <v>1.024393829</v>
      </c>
      <c r="I15" s="274">
        <v>3.0</v>
      </c>
      <c r="J15" s="274">
        <v>1.0</v>
      </c>
      <c r="K15" s="274">
        <v>4.9</v>
      </c>
      <c r="L15" s="55">
        <f>SUM('P106'!$I15:$K15)</f>
        <v>8.9</v>
      </c>
      <c r="M15" s="52">
        <v>3.0</v>
      </c>
      <c r="N15" s="53">
        <v>2.0</v>
      </c>
      <c r="O15" s="54">
        <v>5.0</v>
      </c>
      <c r="P15" s="55">
        <f>SUM('P106'!$M15:$O15)</f>
        <v>10</v>
      </c>
      <c r="Q15" s="274">
        <v>2.25</v>
      </c>
      <c r="R15" s="274">
        <v>2.0</v>
      </c>
      <c r="S15" s="277">
        <v>4.9</v>
      </c>
      <c r="T15" s="55">
        <f>SUM('P106'!$Q15:$S15)</f>
        <v>9.15</v>
      </c>
      <c r="U15" s="56">
        <f>('P106'!$L15+'P106'!$P15+'P106'!$T15)*'P106'!$F15</f>
        <v>28.8908705</v>
      </c>
      <c r="V15" s="274">
        <v>4.15</v>
      </c>
      <c r="W15" s="274">
        <v>6.3</v>
      </c>
      <c r="X15" s="58">
        <f>SUM('P106'!$V15:$W15)*'P106'!$G15</f>
        <v>10.81012321</v>
      </c>
      <c r="Y15" s="59">
        <v>0.0</v>
      </c>
      <c r="Z15" s="275">
        <v>0.0</v>
      </c>
      <c r="AA15" s="275">
        <v>3.75</v>
      </c>
      <c r="AB15" s="60" t="str">
        <f>IF(SUM('P106'!$Y15:$AA15)&gt;5.9,"SI","NO")</f>
        <v>NO</v>
      </c>
      <c r="AC15" s="61">
        <f>SUM('P106'!$Y15:$AA15)</f>
        <v>3.75</v>
      </c>
      <c r="AD15" s="62">
        <v>2.0</v>
      </c>
      <c r="AE15" s="62">
        <v>4.5</v>
      </c>
      <c r="AF15" s="63" t="str">
        <f>IF('P106'!$AG15&gt;5.9,"SI","NO")</f>
        <v>SI</v>
      </c>
      <c r="AG15" s="64">
        <f>SUM('P106'!$AD15:$AE15)</f>
        <v>6.5</v>
      </c>
      <c r="AH15" s="65">
        <v>4.0</v>
      </c>
      <c r="AI15" s="65">
        <v>5.0</v>
      </c>
      <c r="AJ15" s="66">
        <f>AVERAGE('P106'!$AH15:$AI15)</f>
        <v>4.5</v>
      </c>
      <c r="AK15" s="142">
        <v>1.0</v>
      </c>
      <c r="AL15" s="143">
        <v>0.0</v>
      </c>
      <c r="AM15" s="144">
        <v>0.0</v>
      </c>
      <c r="AN15" s="46">
        <f>(('P106'!$AL15+'P106'!$AM15))*'P106'!$AK15</f>
        <v>0</v>
      </c>
      <c r="AO15" s="70">
        <f t="shared" ref="AO15:AO17" si="2">9*H15</f>
        <v>9.219544461</v>
      </c>
      <c r="AP15" s="71">
        <f>SUM('P106'!$U15)</f>
        <v>28.8908705</v>
      </c>
      <c r="AQ15" s="71">
        <f>SUM(AN15,AJ15,AG15,AC15,X15,'P106'!$AO15)</f>
        <v>34.77966767</v>
      </c>
      <c r="AR15" s="247">
        <f>'P106'!$AP15+'P106'!$AQ15</f>
        <v>63.67053817</v>
      </c>
    </row>
    <row r="16" ht="14.25" customHeight="1">
      <c r="A16" s="250" t="s">
        <v>572</v>
      </c>
      <c r="B16" s="103">
        <v>2.02412698E8</v>
      </c>
      <c r="C16" s="103" t="s">
        <v>573</v>
      </c>
      <c r="D16" s="251">
        <v>2.0</v>
      </c>
      <c r="E16" s="49"/>
      <c r="F16" s="51">
        <v>1.246757452</v>
      </c>
      <c r="G16" s="51">
        <v>1.269295518</v>
      </c>
      <c r="H16" s="278">
        <v>1.0</v>
      </c>
      <c r="I16" s="274">
        <v>3.0</v>
      </c>
      <c r="J16" s="274">
        <v>2.0</v>
      </c>
      <c r="K16" s="274">
        <v>5.0</v>
      </c>
      <c r="L16" s="55">
        <f>SUM('P106'!$I16:$K16)</f>
        <v>10</v>
      </c>
      <c r="M16" s="52">
        <v>3.0</v>
      </c>
      <c r="N16" s="53">
        <v>2.0</v>
      </c>
      <c r="O16" s="54">
        <v>5.0</v>
      </c>
      <c r="P16" s="55">
        <f>SUM('P106'!$M16:$O16)</f>
        <v>10</v>
      </c>
      <c r="Q16" s="274">
        <v>1.5</v>
      </c>
      <c r="R16" s="274">
        <v>1.5</v>
      </c>
      <c r="S16" s="274">
        <v>5.0</v>
      </c>
      <c r="T16" s="55">
        <f>SUM('P106'!$Q16:$S16)</f>
        <v>8</v>
      </c>
      <c r="U16" s="56">
        <f>('P106'!$L16+'P106'!$P16+'P106'!$T16)*'P106'!$F16</f>
        <v>34.90920866</v>
      </c>
      <c r="V16" s="274">
        <v>2.8</v>
      </c>
      <c r="W16" s="274">
        <v>9.4</v>
      </c>
      <c r="X16" s="58">
        <f>SUM('P106'!$V16:$W16)*'P106'!$G16</f>
        <v>15.48540532</v>
      </c>
      <c r="Y16" s="59">
        <v>2.0</v>
      </c>
      <c r="Z16" s="275">
        <v>1.5</v>
      </c>
      <c r="AA16" s="275">
        <v>5.0</v>
      </c>
      <c r="AB16" s="60" t="str">
        <f>IF(SUM('P106'!$Y16:$AA16)&gt;5.9,"SI","NO")</f>
        <v>SI</v>
      </c>
      <c r="AC16" s="61">
        <f>SUM('P106'!$Y16:$AA16)</f>
        <v>8.5</v>
      </c>
      <c r="AD16" s="62">
        <v>1.5</v>
      </c>
      <c r="AE16" s="62">
        <v>7.5</v>
      </c>
      <c r="AF16" s="63" t="str">
        <f>IF('P106'!$AG16&gt;5.9,"SI","NO")</f>
        <v>SI</v>
      </c>
      <c r="AG16" s="64">
        <f>SUM('P106'!$AD16:$AE16)</f>
        <v>9</v>
      </c>
      <c r="AH16" s="65">
        <v>5.0</v>
      </c>
      <c r="AI16" s="65">
        <v>4.5</v>
      </c>
      <c r="AJ16" s="66">
        <f>AVERAGE('P106'!$AH16:$AI16)</f>
        <v>4.75</v>
      </c>
      <c r="AK16" s="142">
        <v>1.0</v>
      </c>
      <c r="AL16" s="143">
        <v>9.0</v>
      </c>
      <c r="AM16" s="144">
        <v>5.0</v>
      </c>
      <c r="AN16" s="46">
        <f>(('P106'!$AL16+'P106'!$AM16))*'P106'!$AK16</f>
        <v>14</v>
      </c>
      <c r="AO16" s="70">
        <f t="shared" si="2"/>
        <v>9</v>
      </c>
      <c r="AP16" s="71">
        <f>SUM('P106'!$U16)</f>
        <v>34.90920866</v>
      </c>
      <c r="AQ16" s="71">
        <f>SUM(AN16,AJ16,AG16,AC16,X16,'P106'!$AO16)</f>
        <v>60.73540532</v>
      </c>
      <c r="AR16" s="247">
        <f>'P106'!$AP16+'P106'!$AQ16</f>
        <v>95.64461398</v>
      </c>
    </row>
    <row r="17" ht="14.25" customHeight="1">
      <c r="A17" s="250" t="s">
        <v>574</v>
      </c>
      <c r="B17" s="103">
        <v>2.02502092E8</v>
      </c>
      <c r="C17" s="103" t="s">
        <v>575</v>
      </c>
      <c r="D17" s="251">
        <v>5.0</v>
      </c>
      <c r="E17" s="49"/>
      <c r="F17" s="51">
        <v>1.0</v>
      </c>
      <c r="G17" s="51">
        <v>1.0</v>
      </c>
      <c r="H17" s="51">
        <v>1.0</v>
      </c>
      <c r="I17" s="274">
        <v>3.0</v>
      </c>
      <c r="J17" s="274">
        <v>2.0</v>
      </c>
      <c r="K17" s="274">
        <v>4.9</v>
      </c>
      <c r="L17" s="55">
        <f>SUM('P106'!$I17:$K17)</f>
        <v>9.9</v>
      </c>
      <c r="M17" s="52">
        <v>3.0</v>
      </c>
      <c r="N17" s="53">
        <v>2.0</v>
      </c>
      <c r="O17" s="54">
        <v>5.0</v>
      </c>
      <c r="P17" s="55">
        <f>SUM('P106'!$M17:$O17)</f>
        <v>10</v>
      </c>
      <c r="Q17" s="274">
        <v>1.5</v>
      </c>
      <c r="R17" s="274">
        <v>1.5</v>
      </c>
      <c r="S17" s="274">
        <v>4.0</v>
      </c>
      <c r="T17" s="55">
        <f>SUM('P106'!$Q17:$S17)</f>
        <v>7</v>
      </c>
      <c r="U17" s="56">
        <f>('P106'!$L17+'P106'!$P17+'P106'!$T17)*'P106'!$F17</f>
        <v>26.9</v>
      </c>
      <c r="V17" s="274">
        <v>3.0</v>
      </c>
      <c r="W17" s="274">
        <v>7.7</v>
      </c>
      <c r="X17" s="58">
        <f>SUM('P106'!$V17:$W17)*'P106'!$G17</f>
        <v>10.7</v>
      </c>
      <c r="Y17" s="59">
        <v>0.5</v>
      </c>
      <c r="Z17" s="275">
        <v>0.0</v>
      </c>
      <c r="AA17" s="275">
        <v>3.75</v>
      </c>
      <c r="AB17" s="60" t="str">
        <f>IF(SUM('P106'!$Y17:$AA17)&gt;5.9,"SI","NO")</f>
        <v>NO</v>
      </c>
      <c r="AC17" s="61">
        <f>SUM('P106'!$Y17:$AA17)</f>
        <v>4.25</v>
      </c>
      <c r="AD17" s="62">
        <v>1.8</v>
      </c>
      <c r="AE17" s="62">
        <v>6.7</v>
      </c>
      <c r="AF17" s="63" t="str">
        <f>IF('P106'!$AG17&gt;5.9,"SI","NO")</f>
        <v>SI</v>
      </c>
      <c r="AG17" s="64">
        <f>SUM('P106'!$AD17:$AE17)</f>
        <v>8.5</v>
      </c>
      <c r="AH17" s="65">
        <v>3.0</v>
      </c>
      <c r="AI17" s="65">
        <v>2.0</v>
      </c>
      <c r="AJ17" s="66">
        <f>AVERAGE('P106'!$AH17:$AI17)</f>
        <v>2.5</v>
      </c>
      <c r="AK17" s="142">
        <v>1.0</v>
      </c>
      <c r="AL17" s="143">
        <v>0.0</v>
      </c>
      <c r="AM17" s="144">
        <v>0.0</v>
      </c>
      <c r="AN17" s="46">
        <f>(('P106'!$AL17+'P106'!$AM17))*'P106'!$AK17</f>
        <v>0</v>
      </c>
      <c r="AO17" s="70">
        <f t="shared" si="2"/>
        <v>9</v>
      </c>
      <c r="AP17" s="71">
        <f>SUM('P106'!$U17)</f>
        <v>26.9</v>
      </c>
      <c r="AQ17" s="71">
        <f>SUM(AN17,AJ17,AG17,AC17,X17,'P106'!$AO17)</f>
        <v>34.95</v>
      </c>
      <c r="AR17" s="247">
        <f>'P106'!$AP17+'P106'!$AQ17</f>
        <v>61.85</v>
      </c>
    </row>
    <row r="18" ht="14.25" customHeight="1">
      <c r="A18" s="250" t="s">
        <v>576</v>
      </c>
      <c r="B18" s="103">
        <v>2.02414884E8</v>
      </c>
      <c r="C18" s="103" t="s">
        <v>577</v>
      </c>
      <c r="D18" s="251">
        <v>4.0</v>
      </c>
      <c r="E18" s="49"/>
      <c r="F18" s="51">
        <v>0.754731908</v>
      </c>
      <c r="G18" s="51">
        <v>0.617540227</v>
      </c>
      <c r="H18" s="51">
        <v>0.70647628</v>
      </c>
      <c r="I18" s="274">
        <v>2.25</v>
      </c>
      <c r="J18" s="274">
        <v>2.0</v>
      </c>
      <c r="K18" s="274">
        <v>4.6</v>
      </c>
      <c r="L18" s="55">
        <f>SUM('P106'!$I18:$K18)</f>
        <v>8.85</v>
      </c>
      <c r="M18" s="52">
        <v>3.0</v>
      </c>
      <c r="N18" s="53">
        <v>2.0</v>
      </c>
      <c r="O18" s="54">
        <v>5.0</v>
      </c>
      <c r="P18" s="55">
        <f>SUM('P106'!$M18:$O18)</f>
        <v>10</v>
      </c>
      <c r="Q18" s="274">
        <v>0.75</v>
      </c>
      <c r="R18" s="274">
        <v>2.0</v>
      </c>
      <c r="S18" s="274">
        <v>4.9</v>
      </c>
      <c r="T18" s="55">
        <f>SUM('P106'!$Q18:$S18)</f>
        <v>7.65</v>
      </c>
      <c r="U18" s="56">
        <f>('P106'!$L18+'P106'!$P18+'P106'!$T18)*'P106'!$F18</f>
        <v>20.00039556</v>
      </c>
      <c r="V18" s="274">
        <v>2.6</v>
      </c>
      <c r="W18" s="274">
        <v>5.4</v>
      </c>
      <c r="X18" s="58">
        <f>SUM('P106'!$V18:$W18)*'P106'!$G18</f>
        <v>4.940321816</v>
      </c>
      <c r="Y18" s="59">
        <v>2.0</v>
      </c>
      <c r="Z18" s="275">
        <v>0.0</v>
      </c>
      <c r="AA18" s="275">
        <v>2.5</v>
      </c>
      <c r="AB18" s="60" t="str">
        <f>IF(SUM('P106'!$Y18:$AA18)&gt;5.9,"SI","NO")</f>
        <v>NO</v>
      </c>
      <c r="AC18" s="61">
        <f>SUM('P106'!$Y18:$AA18)</f>
        <v>4.5</v>
      </c>
      <c r="AD18" s="62">
        <v>1.0</v>
      </c>
      <c r="AE18" s="62">
        <v>6.0</v>
      </c>
      <c r="AF18" s="63" t="str">
        <f>IF('P106'!$AG18&gt;5.9,"SI","NO")</f>
        <v>SI</v>
      </c>
      <c r="AG18" s="64">
        <f>SUM('P106'!$AD18:$AE18)</f>
        <v>7</v>
      </c>
      <c r="AH18" s="65">
        <v>3.5</v>
      </c>
      <c r="AI18" s="65">
        <v>3.0</v>
      </c>
      <c r="AJ18" s="66">
        <f>AVERAGE('P106'!$AH18:$AI18)</f>
        <v>3.25</v>
      </c>
      <c r="AK18" s="142">
        <v>1.0</v>
      </c>
      <c r="AL18" s="143">
        <v>0.0</v>
      </c>
      <c r="AM18" s="143">
        <v>0.0</v>
      </c>
      <c r="AN18" s="46">
        <f>(('P106'!$AL18+'P106'!$AM18))*'P106'!$AK18</f>
        <v>0</v>
      </c>
      <c r="AO18" s="70">
        <f>10*H18</f>
        <v>7.0647628</v>
      </c>
      <c r="AP18" s="71">
        <f>SUM('P106'!$U18)</f>
        <v>20.00039556</v>
      </c>
      <c r="AQ18" s="71">
        <f>SUM(AN18,AJ18,AG18,AC18,X18,'P106'!$AO18)</f>
        <v>26.75508462</v>
      </c>
      <c r="AR18" s="247">
        <f>'P106'!$AP18+'P106'!$AQ18</f>
        <v>46.75548018</v>
      </c>
    </row>
    <row r="19" ht="14.25" customHeight="1">
      <c r="A19" s="250" t="s">
        <v>578</v>
      </c>
      <c r="B19" s="103">
        <v>2.0220666E8</v>
      </c>
      <c r="C19" s="103" t="s">
        <v>579</v>
      </c>
      <c r="D19" s="251">
        <v>6.0</v>
      </c>
      <c r="E19" s="49"/>
      <c r="F19" s="51">
        <v>1.0</v>
      </c>
      <c r="G19" s="51">
        <v>1.0</v>
      </c>
      <c r="H19" s="51">
        <v>1.0</v>
      </c>
      <c r="I19" s="274">
        <v>1.5</v>
      </c>
      <c r="J19" s="274">
        <v>2.0</v>
      </c>
      <c r="K19" s="274">
        <v>0.0</v>
      </c>
      <c r="L19" s="55">
        <f>SUM('P106'!$I19:$K19)</f>
        <v>3.5</v>
      </c>
      <c r="M19" s="52">
        <v>3.0</v>
      </c>
      <c r="N19" s="53">
        <v>2.0</v>
      </c>
      <c r="O19" s="54">
        <v>5.0</v>
      </c>
      <c r="P19" s="55">
        <f>SUM('P106'!$M19:$O19)</f>
        <v>10</v>
      </c>
      <c r="Q19" s="274">
        <v>2.25</v>
      </c>
      <c r="R19" s="274">
        <v>2.0</v>
      </c>
      <c r="S19" s="274">
        <v>4.4</v>
      </c>
      <c r="T19" s="55">
        <f>SUM('P106'!$Q19:$S19)</f>
        <v>8.65</v>
      </c>
      <c r="U19" s="56">
        <f>('P106'!$L19+'P106'!$P19+'P106'!$T19)*'P106'!$F19</f>
        <v>22.15</v>
      </c>
      <c r="V19" s="274">
        <v>4.8</v>
      </c>
      <c r="W19" s="274">
        <v>6.4</v>
      </c>
      <c r="X19" s="58">
        <f>SUM('P106'!$V19:$W19)*'P106'!$G19</f>
        <v>11.2</v>
      </c>
      <c r="Y19" s="59">
        <v>1.0</v>
      </c>
      <c r="Z19" s="275">
        <v>3.0</v>
      </c>
      <c r="AA19" s="275">
        <v>2.5</v>
      </c>
      <c r="AB19" s="60" t="str">
        <f>IF(SUM('P106'!$Y19:$AA19)&gt;5.9,"SI","NO")</f>
        <v>SI</v>
      </c>
      <c r="AC19" s="61">
        <f>SUM('P106'!$Y19:$AA19)</f>
        <v>6.5</v>
      </c>
      <c r="AD19" s="62">
        <v>0.75</v>
      </c>
      <c r="AE19" s="62">
        <v>6.0</v>
      </c>
      <c r="AF19" s="63" t="str">
        <f>IF('P106'!$AG19&gt;5.9,"SI","NO")</f>
        <v>SI</v>
      </c>
      <c r="AG19" s="64">
        <f>SUM('P106'!$AD19:$AE19)</f>
        <v>6.75</v>
      </c>
      <c r="AH19" s="65">
        <v>3.0</v>
      </c>
      <c r="AI19" s="65">
        <v>3.0</v>
      </c>
      <c r="AJ19" s="66">
        <f>AVERAGE('P106'!$AH19:$AI19)</f>
        <v>3</v>
      </c>
      <c r="AK19" s="142">
        <v>1.0</v>
      </c>
      <c r="AL19" s="143">
        <v>7.0</v>
      </c>
      <c r="AM19" s="144">
        <v>7.0</v>
      </c>
      <c r="AN19" s="46">
        <f>(('P106'!$AL19+'P106'!$AM19))*'P106'!$AK19</f>
        <v>14</v>
      </c>
      <c r="AO19" s="70">
        <f t="shared" ref="AO19:AO25" si="3">9*H19</f>
        <v>9</v>
      </c>
      <c r="AP19" s="71">
        <f>SUM('P106'!$U19)</f>
        <v>22.15</v>
      </c>
      <c r="AQ19" s="71">
        <f>SUM(AN19,AJ19,AG19,AC19,X19,'P106'!$AO19)</f>
        <v>50.45</v>
      </c>
      <c r="AR19" s="247">
        <f>'P106'!$AP19+'P106'!$AQ19</f>
        <v>72.6</v>
      </c>
    </row>
    <row r="20" ht="14.25" customHeight="1">
      <c r="A20" s="250" t="s">
        <v>580</v>
      </c>
      <c r="B20" s="103">
        <v>2.0230123E8</v>
      </c>
      <c r="C20" s="103" t="s">
        <v>581</v>
      </c>
      <c r="D20" s="251">
        <v>7.0</v>
      </c>
      <c r="E20" s="49"/>
      <c r="F20" s="51">
        <v>1.069044968</v>
      </c>
      <c r="G20" s="51">
        <v>1.135923668</v>
      </c>
      <c r="H20" s="51">
        <v>1.110825442</v>
      </c>
      <c r="I20" s="274">
        <v>2.25</v>
      </c>
      <c r="J20" s="274">
        <v>1.25</v>
      </c>
      <c r="K20" s="277">
        <v>2.3</v>
      </c>
      <c r="L20" s="55">
        <f>SUM('P106'!$I20:$K20)</f>
        <v>5.8</v>
      </c>
      <c r="M20" s="52">
        <v>3.0</v>
      </c>
      <c r="N20" s="53">
        <v>2.0</v>
      </c>
      <c r="O20" s="54">
        <v>5.0</v>
      </c>
      <c r="P20" s="55">
        <f>SUM('P106'!$M20:$O20)</f>
        <v>10</v>
      </c>
      <c r="Q20" s="274">
        <v>0.75</v>
      </c>
      <c r="R20" s="274">
        <v>1.25</v>
      </c>
      <c r="S20" s="277">
        <v>0.0</v>
      </c>
      <c r="T20" s="55">
        <f>SUM('P106'!$Q20:$S20)</f>
        <v>2</v>
      </c>
      <c r="U20" s="56">
        <f>('P106'!$L20+'P106'!$P20+'P106'!$T20)*'P106'!$F20</f>
        <v>19.02900043</v>
      </c>
      <c r="V20" s="274">
        <v>4.65</v>
      </c>
      <c r="W20" s="277">
        <v>10.0</v>
      </c>
      <c r="X20" s="58">
        <f>SUM('P106'!$V20:$W20)*'P106'!$G20</f>
        <v>16.64128174</v>
      </c>
      <c r="Y20" s="59">
        <v>1.0</v>
      </c>
      <c r="Z20" s="275">
        <v>0.0</v>
      </c>
      <c r="AA20" s="275">
        <v>5.0</v>
      </c>
      <c r="AB20" s="60" t="str">
        <f>IF(SUM('P106'!$Y20:$AA20)&gt;5.9,"SI","NO")</f>
        <v>SI</v>
      </c>
      <c r="AC20" s="61">
        <f>SUM('P106'!$Y20:$AA20)</f>
        <v>6</v>
      </c>
      <c r="AD20" s="62">
        <v>1.5</v>
      </c>
      <c r="AE20" s="62">
        <v>4.5</v>
      </c>
      <c r="AF20" s="63" t="str">
        <f>IF('P106'!$AG20&gt;5.9,"SI","NO")</f>
        <v>SI</v>
      </c>
      <c r="AG20" s="64">
        <f>SUM('P106'!$AD20:$AE20)</f>
        <v>6</v>
      </c>
      <c r="AH20" s="65">
        <v>5.0</v>
      </c>
      <c r="AI20" s="65">
        <v>3.0</v>
      </c>
      <c r="AJ20" s="66">
        <f>AVERAGE('P106'!$AH20:$AI20)</f>
        <v>4</v>
      </c>
      <c r="AK20" s="142">
        <v>1.0</v>
      </c>
      <c r="AL20" s="143">
        <v>2.5</v>
      </c>
      <c r="AM20" s="144">
        <v>4.5</v>
      </c>
      <c r="AN20" s="46">
        <f>(('P106'!$AL20+'P106'!$AM20))*'P106'!$AK20</f>
        <v>7</v>
      </c>
      <c r="AO20" s="70">
        <f t="shared" si="3"/>
        <v>9.997428978</v>
      </c>
      <c r="AP20" s="71">
        <f>SUM('P106'!$U20)</f>
        <v>19.02900043</v>
      </c>
      <c r="AQ20" s="71">
        <f>SUM(AN20,AJ20,AG20,AC20,X20,'P106'!$AO20)</f>
        <v>49.63871071</v>
      </c>
      <c r="AR20" s="247">
        <f>'P106'!$AP20+'P106'!$AQ20</f>
        <v>68.66771114</v>
      </c>
    </row>
    <row r="21" ht="14.25" customHeight="1">
      <c r="A21" s="250" t="s">
        <v>582</v>
      </c>
      <c r="B21" s="103">
        <v>2.02508628E8</v>
      </c>
      <c r="C21" s="103" t="s">
        <v>583</v>
      </c>
      <c r="D21" s="251">
        <v>3.0</v>
      </c>
      <c r="E21" s="49"/>
      <c r="F21" s="51">
        <v>1.0</v>
      </c>
      <c r="G21" s="51">
        <v>1.0</v>
      </c>
      <c r="H21" s="51">
        <v>1.0</v>
      </c>
      <c r="I21" s="274">
        <v>2.25</v>
      </c>
      <c r="J21" s="274">
        <v>2.0</v>
      </c>
      <c r="K21" s="274">
        <v>5.0</v>
      </c>
      <c r="L21" s="55">
        <f>SUM('P106'!$I21:$K21)</f>
        <v>9.25</v>
      </c>
      <c r="M21" s="52">
        <v>3.0</v>
      </c>
      <c r="N21" s="53">
        <v>2.0</v>
      </c>
      <c r="O21" s="54">
        <v>5.0</v>
      </c>
      <c r="P21" s="55">
        <f>SUM('P106'!$M21:$O21)</f>
        <v>10</v>
      </c>
      <c r="Q21" s="274">
        <v>3.0</v>
      </c>
      <c r="R21" s="274">
        <v>2.0</v>
      </c>
      <c r="S21" s="274">
        <v>4.3</v>
      </c>
      <c r="T21" s="55">
        <f>SUM('P106'!$Q21:$S21)</f>
        <v>9.3</v>
      </c>
      <c r="U21" s="56">
        <f>('P106'!$L21+'P106'!$P21+'P106'!$T21)*'P106'!$F21</f>
        <v>28.55</v>
      </c>
      <c r="V21" s="274">
        <v>2.95</v>
      </c>
      <c r="W21" s="274">
        <v>9.1</v>
      </c>
      <c r="X21" s="58">
        <f>SUM('P106'!$V21:$W21)*'P106'!$G21</f>
        <v>12.05</v>
      </c>
      <c r="Y21" s="59">
        <v>0.0</v>
      </c>
      <c r="Z21" s="275">
        <v>3.0</v>
      </c>
      <c r="AA21" s="275">
        <v>3.75</v>
      </c>
      <c r="AB21" s="60" t="str">
        <f>IF(SUM('P106'!$Y21:$AA21)&gt;5.9,"SI","NO")</f>
        <v>SI</v>
      </c>
      <c r="AC21" s="61">
        <f>SUM('P106'!$Y21:$AA21)</f>
        <v>6.75</v>
      </c>
      <c r="AD21" s="62">
        <v>1.9</v>
      </c>
      <c r="AE21" s="62">
        <v>0.0</v>
      </c>
      <c r="AF21" s="63" t="str">
        <f>IF('P106'!$AG21&gt;5.9,"SI","NO")</f>
        <v>NO</v>
      </c>
      <c r="AG21" s="64">
        <f>SUM('P106'!$AD21:$AE21)</f>
        <v>1.9</v>
      </c>
      <c r="AH21" s="65">
        <v>2.5</v>
      </c>
      <c r="AI21" s="65">
        <v>2.5</v>
      </c>
      <c r="AJ21" s="66">
        <f>AVERAGE('P106'!$AH21:$AI21)</f>
        <v>2.5</v>
      </c>
      <c r="AK21" s="142">
        <v>0.0</v>
      </c>
      <c r="AL21" s="143">
        <v>0.0</v>
      </c>
      <c r="AM21" s="144">
        <v>0.0</v>
      </c>
      <c r="AN21" s="46">
        <f>(('P106'!$AL21+'P106'!$AM21))*'P106'!$AK21</f>
        <v>0</v>
      </c>
      <c r="AO21" s="70">
        <f t="shared" si="3"/>
        <v>9</v>
      </c>
      <c r="AP21" s="71">
        <f>SUM('P106'!$U21)</f>
        <v>28.55</v>
      </c>
      <c r="AQ21" s="71">
        <f>SUM(AN21,AJ21,AG21,AC21,X21,'P106'!$AO21)</f>
        <v>32.2</v>
      </c>
      <c r="AR21" s="247">
        <f>'P106'!$AP21+'P106'!$AQ21</f>
        <v>60.75</v>
      </c>
    </row>
    <row r="22" ht="14.25" customHeight="1">
      <c r="A22" s="250" t="s">
        <v>584</v>
      </c>
      <c r="B22" s="103">
        <v>2.02506887E8</v>
      </c>
      <c r="C22" s="103" t="s">
        <v>585</v>
      </c>
      <c r="D22" s="251">
        <v>3.0</v>
      </c>
      <c r="E22" s="49"/>
      <c r="F22" s="51">
        <v>1.0</v>
      </c>
      <c r="G22" s="51">
        <v>1.0</v>
      </c>
      <c r="H22" s="51">
        <v>1.0</v>
      </c>
      <c r="I22" s="274">
        <v>2.25</v>
      </c>
      <c r="J22" s="274">
        <v>2.0</v>
      </c>
      <c r="K22" s="274">
        <v>5.0</v>
      </c>
      <c r="L22" s="55">
        <f>SUM('P106'!$I22:$K22)</f>
        <v>9.25</v>
      </c>
      <c r="M22" s="52">
        <v>3.0</v>
      </c>
      <c r="N22" s="53">
        <v>2.0</v>
      </c>
      <c r="O22" s="54">
        <v>5.0</v>
      </c>
      <c r="P22" s="55">
        <f>SUM('P106'!$M22:$O22)</f>
        <v>10</v>
      </c>
      <c r="Q22" s="274">
        <v>2.25</v>
      </c>
      <c r="R22" s="274">
        <v>2.0</v>
      </c>
      <c r="S22" s="274">
        <v>4.3</v>
      </c>
      <c r="T22" s="55">
        <f>SUM('P106'!$Q22:$S22)</f>
        <v>8.55</v>
      </c>
      <c r="U22" s="56">
        <f>('P106'!$L22+'P106'!$P22+'P106'!$T22)*'P106'!$F22</f>
        <v>27.8</v>
      </c>
      <c r="V22" s="274">
        <v>3.15</v>
      </c>
      <c r="W22" s="274">
        <v>9.1</v>
      </c>
      <c r="X22" s="58">
        <f>SUM('P106'!$V22:$W22)*'P106'!$G22</f>
        <v>12.25</v>
      </c>
      <c r="Y22" s="59">
        <v>1.5</v>
      </c>
      <c r="Z22" s="275">
        <v>3.0</v>
      </c>
      <c r="AA22" s="275">
        <v>2.5</v>
      </c>
      <c r="AB22" s="60" t="str">
        <f>IF(SUM('P106'!$Y22:$AA22)&gt;5.9,"SI","NO")</f>
        <v>SI</v>
      </c>
      <c r="AC22" s="61">
        <f>SUM('P106'!$Y22:$AA22)</f>
        <v>7</v>
      </c>
      <c r="AD22" s="62">
        <v>1.9</v>
      </c>
      <c r="AE22" s="62">
        <v>0.0</v>
      </c>
      <c r="AF22" s="63" t="str">
        <f>IF('P106'!$AG22&gt;5.9,"SI","NO")</f>
        <v>NO</v>
      </c>
      <c r="AG22" s="64">
        <f>SUM('P106'!$AD22:$AE22)</f>
        <v>1.9</v>
      </c>
      <c r="AH22" s="65">
        <v>2.5</v>
      </c>
      <c r="AI22" s="65">
        <v>2.5</v>
      </c>
      <c r="AJ22" s="66">
        <f>AVERAGE('P106'!$AH22:$AI22)</f>
        <v>2.5</v>
      </c>
      <c r="AK22" s="142">
        <v>0.0</v>
      </c>
      <c r="AL22" s="143">
        <v>0.0</v>
      </c>
      <c r="AM22" s="144">
        <v>0.0</v>
      </c>
      <c r="AN22" s="46">
        <f>(('P106'!$AL22+'P106'!$AM22))*'P106'!$AK22</f>
        <v>0</v>
      </c>
      <c r="AO22" s="70">
        <f t="shared" si="3"/>
        <v>9</v>
      </c>
      <c r="AP22" s="71">
        <f>SUM('P106'!$U22)</f>
        <v>27.8</v>
      </c>
      <c r="AQ22" s="71">
        <f>SUM(AN22,AJ22,AG22,AC22,X22,'P106'!$AO22)</f>
        <v>32.65</v>
      </c>
      <c r="AR22" s="247">
        <f>'P106'!$AP22+'P106'!$AQ22</f>
        <v>60.45</v>
      </c>
    </row>
    <row r="23" ht="14.25" customHeight="1">
      <c r="A23" s="250" t="s">
        <v>586</v>
      </c>
      <c r="B23" s="103">
        <v>2.02509154E8</v>
      </c>
      <c r="C23" s="103" t="s">
        <v>587</v>
      </c>
      <c r="D23" s="251">
        <v>5.0</v>
      </c>
      <c r="E23" s="49"/>
      <c r="F23" s="51">
        <v>1.0</v>
      </c>
      <c r="G23" s="51">
        <v>1.0</v>
      </c>
      <c r="H23" s="51">
        <v>1.0</v>
      </c>
      <c r="I23" s="274">
        <v>2.25</v>
      </c>
      <c r="J23" s="274">
        <v>2.0</v>
      </c>
      <c r="K23" s="274">
        <v>4.9</v>
      </c>
      <c r="L23" s="55">
        <f>SUM('P106'!$I23:$K23)</f>
        <v>9.15</v>
      </c>
      <c r="M23" s="52">
        <v>3.0</v>
      </c>
      <c r="N23" s="53">
        <v>2.0</v>
      </c>
      <c r="O23" s="54">
        <v>5.0</v>
      </c>
      <c r="P23" s="55">
        <f>SUM('P106'!$M23:$O23)</f>
        <v>10</v>
      </c>
      <c r="Q23" s="274">
        <v>1.88</v>
      </c>
      <c r="R23" s="274">
        <v>1.5</v>
      </c>
      <c r="S23" s="274">
        <v>4.0</v>
      </c>
      <c r="T23" s="55">
        <f>SUM('P106'!$Q23:$S23)</f>
        <v>7.38</v>
      </c>
      <c r="U23" s="56">
        <f>('P106'!$L23+'P106'!$P23+'P106'!$T23)*'P106'!$F23</f>
        <v>26.53</v>
      </c>
      <c r="V23" s="274">
        <v>3.0</v>
      </c>
      <c r="W23" s="274">
        <v>7.7</v>
      </c>
      <c r="X23" s="58">
        <f>SUM('P106'!$V23:$W23)*'P106'!$G23</f>
        <v>10.7</v>
      </c>
      <c r="Y23" s="59">
        <v>2.0</v>
      </c>
      <c r="Z23" s="275">
        <v>0.0</v>
      </c>
      <c r="AA23" s="275">
        <v>4.0</v>
      </c>
      <c r="AB23" s="60" t="str">
        <f>IF(SUM('P106'!$Y23:$AA23)&gt;5.9,"SI","NO")</f>
        <v>SI</v>
      </c>
      <c r="AC23" s="61">
        <f>SUM('P106'!$Y23:$AA23)</f>
        <v>6</v>
      </c>
      <c r="AD23" s="62">
        <v>1.8</v>
      </c>
      <c r="AE23" s="62">
        <v>6.7</v>
      </c>
      <c r="AF23" s="63" t="str">
        <f>IF('P106'!$AG23&gt;5.9,"SI","NO")</f>
        <v>SI</v>
      </c>
      <c r="AG23" s="64">
        <f>SUM('P106'!$AD23:$AE23)</f>
        <v>8.5</v>
      </c>
      <c r="AH23" s="65">
        <v>3.0</v>
      </c>
      <c r="AI23" s="65">
        <v>2.0</v>
      </c>
      <c r="AJ23" s="66">
        <f>AVERAGE('P106'!$AH23:$AI23)</f>
        <v>2.5</v>
      </c>
      <c r="AK23" s="142">
        <v>1.0</v>
      </c>
      <c r="AL23" s="143">
        <v>7.5</v>
      </c>
      <c r="AM23" s="144">
        <v>6.5</v>
      </c>
      <c r="AN23" s="46">
        <f>(('P106'!$AL23+'P106'!$AM23))*'P106'!$AK23</f>
        <v>14</v>
      </c>
      <c r="AO23" s="70">
        <f t="shared" si="3"/>
        <v>9</v>
      </c>
      <c r="AP23" s="71">
        <f>SUM('P106'!$U23)</f>
        <v>26.53</v>
      </c>
      <c r="AQ23" s="71">
        <f>SUM(AN23,AJ23,AG23,AC23,X23,'P106'!$AO23)</f>
        <v>50.7</v>
      </c>
      <c r="AR23" s="247">
        <f>'P106'!$AP23+'P106'!$AQ23</f>
        <v>77.23</v>
      </c>
    </row>
    <row r="24" ht="14.25" customHeight="1">
      <c r="A24" s="250" t="s">
        <v>588</v>
      </c>
      <c r="B24" s="103">
        <v>2.02413852E8</v>
      </c>
      <c r="C24" s="103" t="s">
        <v>589</v>
      </c>
      <c r="D24" s="251">
        <v>1.0</v>
      </c>
      <c r="E24" s="49"/>
      <c r="F24" s="51">
        <v>1.0</v>
      </c>
      <c r="G24" s="51">
        <v>1.00172861</v>
      </c>
      <c r="H24" s="51">
        <v>1.001760255</v>
      </c>
      <c r="I24" s="274">
        <v>3.0</v>
      </c>
      <c r="J24" s="274">
        <v>2.0</v>
      </c>
      <c r="K24" s="274">
        <v>4.45</v>
      </c>
      <c r="L24" s="55">
        <f>SUM('P106'!$I24:$K24)</f>
        <v>9.45</v>
      </c>
      <c r="M24" s="52">
        <v>3.0</v>
      </c>
      <c r="N24" s="53">
        <v>2.0</v>
      </c>
      <c r="O24" s="54">
        <v>5.0</v>
      </c>
      <c r="P24" s="55">
        <f>SUM('P106'!$M24:$O24)</f>
        <v>10</v>
      </c>
      <c r="Q24" s="274">
        <v>2.25</v>
      </c>
      <c r="R24" s="274">
        <v>2.0</v>
      </c>
      <c r="S24" s="274">
        <v>5.0</v>
      </c>
      <c r="T24" s="55">
        <f>SUM('P106'!$Q24:$S24)</f>
        <v>9.25</v>
      </c>
      <c r="U24" s="56">
        <f>('P106'!$L24+'P106'!$P24+'P106'!$T24)*'P106'!$F24</f>
        <v>28.7</v>
      </c>
      <c r="V24" s="276">
        <v>2.05</v>
      </c>
      <c r="W24" s="274">
        <v>7.3</v>
      </c>
      <c r="X24" s="58">
        <f>SUM('P106'!$V24:$W24)*'P106'!$G24</f>
        <v>9.366162504</v>
      </c>
      <c r="Y24" s="59">
        <v>1.5</v>
      </c>
      <c r="Z24" s="275">
        <v>0.0</v>
      </c>
      <c r="AA24" s="275">
        <v>0.0</v>
      </c>
      <c r="AB24" s="60" t="str">
        <f>IF(SUM('P106'!$Y24:$AA24)&gt;5.9,"SI","NO")</f>
        <v>NO</v>
      </c>
      <c r="AC24" s="61">
        <f>SUM('P106'!$Y24:$AA24)</f>
        <v>1.5</v>
      </c>
      <c r="AD24" s="62">
        <v>1.3</v>
      </c>
      <c r="AE24" s="62">
        <v>4.2</v>
      </c>
      <c r="AF24" s="63" t="str">
        <f>IF('P106'!$AG24&gt;5.9,"SI","NO")</f>
        <v>NO</v>
      </c>
      <c r="AG24" s="64">
        <f>SUM('P106'!$AD24:$AE24)</f>
        <v>5.5</v>
      </c>
      <c r="AH24" s="65">
        <v>2.5</v>
      </c>
      <c r="AI24" s="65">
        <v>2.5</v>
      </c>
      <c r="AJ24" s="66">
        <f>AVERAGE('P106'!$AH24:$AI24)</f>
        <v>2.5</v>
      </c>
      <c r="AK24" s="142">
        <v>0.0</v>
      </c>
      <c r="AL24" s="143">
        <v>0.0</v>
      </c>
      <c r="AM24" s="144">
        <v>0.0</v>
      </c>
      <c r="AN24" s="46">
        <f>(('P106'!$AL24+'P106'!$AM24))*'P106'!$AK24</f>
        <v>0</v>
      </c>
      <c r="AO24" s="70">
        <f t="shared" si="3"/>
        <v>9.015842295</v>
      </c>
      <c r="AP24" s="71">
        <f>SUM('P106'!$U24)</f>
        <v>28.7</v>
      </c>
      <c r="AQ24" s="71">
        <f>SUM(AN24,AJ24,AG24,AC24,X24,'P106'!$AO24)</f>
        <v>27.8820048</v>
      </c>
      <c r="AR24" s="247">
        <f>'P106'!$AP24+'P106'!$AQ24</f>
        <v>56.5820048</v>
      </c>
    </row>
    <row r="25" ht="14.25" customHeight="1">
      <c r="A25" s="250" t="s">
        <v>590</v>
      </c>
      <c r="B25" s="103">
        <v>2.02414546E8</v>
      </c>
      <c r="C25" s="103" t="s">
        <v>591</v>
      </c>
      <c r="D25" s="251">
        <v>10.0</v>
      </c>
      <c r="E25" s="49"/>
      <c r="F25" s="51">
        <v>1.044465936</v>
      </c>
      <c r="G25" s="51">
        <v>1.032795559</v>
      </c>
      <c r="H25" s="51">
        <v>1.017095255</v>
      </c>
      <c r="I25" s="274">
        <v>3.0</v>
      </c>
      <c r="J25" s="274">
        <v>1.25</v>
      </c>
      <c r="K25" s="274">
        <v>4.35</v>
      </c>
      <c r="L25" s="55">
        <f>SUM('P106'!$I25:$K25)</f>
        <v>8.6</v>
      </c>
      <c r="M25" s="52">
        <v>3.0</v>
      </c>
      <c r="N25" s="53">
        <v>2.0</v>
      </c>
      <c r="O25" s="54">
        <v>5.0</v>
      </c>
      <c r="P25" s="55">
        <f>SUM('P106'!$M25:$O25)</f>
        <v>10</v>
      </c>
      <c r="Q25" s="274">
        <v>2.75</v>
      </c>
      <c r="R25" s="274">
        <v>2.0</v>
      </c>
      <c r="S25" s="277">
        <v>5.0</v>
      </c>
      <c r="T25" s="55">
        <f>SUM('P106'!$Q25:$S25)</f>
        <v>9.75</v>
      </c>
      <c r="U25" s="56">
        <f>('P106'!$L25+'P106'!$P25+'P106'!$T25)*'P106'!$F25</f>
        <v>29.61060929</v>
      </c>
      <c r="V25" s="274">
        <v>4.55</v>
      </c>
      <c r="W25" s="274">
        <v>10.0</v>
      </c>
      <c r="X25" s="58">
        <f>SUM('P106'!$V25:$W25)*'P106'!$G25</f>
        <v>15.02717538</v>
      </c>
      <c r="Y25" s="59">
        <v>1.0</v>
      </c>
      <c r="Z25" s="275">
        <v>2.0</v>
      </c>
      <c r="AA25" s="275">
        <v>3.0</v>
      </c>
      <c r="AB25" s="60" t="str">
        <f>IF(SUM('P106'!$Y25:$AA25)&gt;5.9,"SI","NO")</f>
        <v>SI</v>
      </c>
      <c r="AC25" s="61">
        <f>SUM('P106'!$Y25:$AA25)</f>
        <v>6</v>
      </c>
      <c r="AD25" s="62">
        <v>2.0</v>
      </c>
      <c r="AE25" s="62">
        <v>4.0</v>
      </c>
      <c r="AF25" s="63" t="str">
        <f>IF('P106'!$AG25&gt;5.9,"SI","NO")</f>
        <v>SI</v>
      </c>
      <c r="AG25" s="64">
        <f>SUM('P106'!$AD25:$AE25)</f>
        <v>6</v>
      </c>
      <c r="AH25" s="65">
        <v>4.0</v>
      </c>
      <c r="AI25" s="65">
        <v>4.0</v>
      </c>
      <c r="AJ25" s="66">
        <f>AVERAGE('P106'!$AH25:$AI25)</f>
        <v>4</v>
      </c>
      <c r="AK25" s="142">
        <v>1.0</v>
      </c>
      <c r="AL25" s="143">
        <v>10.0</v>
      </c>
      <c r="AM25" s="144">
        <v>8.0</v>
      </c>
      <c r="AN25" s="46">
        <f>(('P106'!$AL25+'P106'!$AM25))*'P106'!$AK25</f>
        <v>18</v>
      </c>
      <c r="AO25" s="70">
        <f t="shared" si="3"/>
        <v>9.153857295</v>
      </c>
      <c r="AP25" s="71">
        <f>SUM('P106'!$U25)</f>
        <v>29.61060929</v>
      </c>
      <c r="AQ25" s="71">
        <f>SUM(AN25,AJ25,AG25,AC25,X25,'P106'!$AO25)</f>
        <v>58.18103268</v>
      </c>
      <c r="AR25" s="247">
        <f>'P106'!$AP25+'P106'!$AQ25</f>
        <v>87.79164196</v>
      </c>
    </row>
    <row r="26" ht="14.25" customHeight="1">
      <c r="A26" s="250" t="s">
        <v>592</v>
      </c>
      <c r="B26" s="103">
        <v>2.02509063E8</v>
      </c>
      <c r="C26" s="103" t="s">
        <v>593</v>
      </c>
      <c r="D26" s="251">
        <v>4.0</v>
      </c>
      <c r="E26" s="49"/>
      <c r="F26" s="51">
        <v>1.0673521</v>
      </c>
      <c r="G26" s="51">
        <v>1.069611049</v>
      </c>
      <c r="H26" s="51">
        <v>1.094468347</v>
      </c>
      <c r="I26" s="274">
        <v>1.5</v>
      </c>
      <c r="J26" s="274">
        <v>2.0</v>
      </c>
      <c r="K26" s="274">
        <v>4.6</v>
      </c>
      <c r="L26" s="55">
        <f>SUM('P106'!$I26:$K26)</f>
        <v>8.1</v>
      </c>
      <c r="M26" s="52">
        <v>3.0</v>
      </c>
      <c r="N26" s="53">
        <v>2.0</v>
      </c>
      <c r="O26" s="54">
        <v>5.0</v>
      </c>
      <c r="P26" s="55">
        <f>SUM('P106'!$M26:$O26)</f>
        <v>10</v>
      </c>
      <c r="Q26" s="274">
        <v>3.0</v>
      </c>
      <c r="R26" s="274">
        <v>2.0</v>
      </c>
      <c r="S26" s="274">
        <v>4.9</v>
      </c>
      <c r="T26" s="55">
        <f>SUM('P106'!$Q26:$S26)</f>
        <v>9.9</v>
      </c>
      <c r="U26" s="56">
        <f>('P106'!$L26+'P106'!$P26+'P106'!$T26)*'P106'!$F26</f>
        <v>29.8858588</v>
      </c>
      <c r="V26" s="274">
        <v>2.6</v>
      </c>
      <c r="W26" s="274">
        <v>5.4</v>
      </c>
      <c r="X26" s="58">
        <f>SUM('P106'!$V26:$W26)*'P106'!$G26</f>
        <v>8.556888392</v>
      </c>
      <c r="Y26" s="59">
        <v>1.0</v>
      </c>
      <c r="Z26" s="275">
        <v>0.0</v>
      </c>
      <c r="AA26" s="275">
        <v>1.25</v>
      </c>
      <c r="AB26" s="60" t="str">
        <f>IF(SUM('P106'!$Y26:$AA26)&gt;5.9,"SI","NO")</f>
        <v>NO</v>
      </c>
      <c r="AC26" s="61">
        <f>SUM('P106'!$Y26:$AA26)</f>
        <v>2.25</v>
      </c>
      <c r="AD26" s="62">
        <v>1.0</v>
      </c>
      <c r="AE26" s="62">
        <v>6.0</v>
      </c>
      <c r="AF26" s="63" t="str">
        <f>IF('P106'!$AG26&gt;5.9,"SI","NO")</f>
        <v>SI</v>
      </c>
      <c r="AG26" s="64">
        <f>SUM('P106'!$AD26:$AE26)</f>
        <v>7</v>
      </c>
      <c r="AH26" s="65">
        <v>3.5</v>
      </c>
      <c r="AI26" s="65">
        <v>3.0</v>
      </c>
      <c r="AJ26" s="66">
        <f>AVERAGE('P106'!$AH26:$AI26)</f>
        <v>3.25</v>
      </c>
      <c r="AK26" s="142">
        <v>1.0</v>
      </c>
      <c r="AL26" s="143">
        <v>0.0</v>
      </c>
      <c r="AM26" s="143">
        <v>0.0</v>
      </c>
      <c r="AN26" s="46">
        <f>(('P106'!$AL26+'P106'!$AM26))*'P106'!$AK26</f>
        <v>0</v>
      </c>
      <c r="AO26" s="70">
        <f>10*H26</f>
        <v>10.94468347</v>
      </c>
      <c r="AP26" s="71">
        <f>SUM('P106'!$U26)</f>
        <v>29.8858588</v>
      </c>
      <c r="AQ26" s="71">
        <f>SUM(AN26,AJ26,AG26,AC26,X26,'P106'!$AO26)</f>
        <v>32.00157186</v>
      </c>
      <c r="AR26" s="247">
        <f>'P106'!$AP26+'P106'!$AQ26</f>
        <v>61.88743066</v>
      </c>
    </row>
    <row r="27" ht="14.25" customHeight="1">
      <c r="A27" s="250" t="s">
        <v>594</v>
      </c>
      <c r="B27" s="103">
        <v>2.02317541E8</v>
      </c>
      <c r="C27" s="103" t="s">
        <v>595</v>
      </c>
      <c r="D27" s="251">
        <v>8.0</v>
      </c>
      <c r="E27" s="49"/>
      <c r="F27" s="51">
        <v>0.826447482</v>
      </c>
      <c r="G27" s="51">
        <v>0.842812021</v>
      </c>
      <c r="H27" s="51">
        <v>0.890870806</v>
      </c>
      <c r="I27" s="274">
        <v>2.25</v>
      </c>
      <c r="J27" s="274">
        <v>1.0</v>
      </c>
      <c r="K27" s="274">
        <v>4.9</v>
      </c>
      <c r="L27" s="55">
        <f>SUM('P106'!$I27:$K27)</f>
        <v>8.15</v>
      </c>
      <c r="M27" s="52">
        <v>3.0</v>
      </c>
      <c r="N27" s="53">
        <v>2.0</v>
      </c>
      <c r="O27" s="54">
        <v>5.0</v>
      </c>
      <c r="P27" s="55">
        <f>SUM('P106'!$M27:$O27)</f>
        <v>10</v>
      </c>
      <c r="Q27" s="274">
        <v>0.75</v>
      </c>
      <c r="R27" s="274">
        <v>2.0</v>
      </c>
      <c r="S27" s="277">
        <v>0.0</v>
      </c>
      <c r="T27" s="55">
        <f>SUM('P106'!$Q27:$S27)</f>
        <v>2.75</v>
      </c>
      <c r="U27" s="56">
        <f>('P106'!$L27+'P106'!$P27+'P106'!$T27)*'P106'!$F27</f>
        <v>17.27275237</v>
      </c>
      <c r="V27" s="274">
        <v>4.15</v>
      </c>
      <c r="W27" s="274">
        <v>6.3</v>
      </c>
      <c r="X27" s="58">
        <f>SUM('P106'!$V27:$W27)*'P106'!$G27</f>
        <v>8.807385619</v>
      </c>
      <c r="Y27" s="59">
        <v>1.5</v>
      </c>
      <c r="Z27" s="275">
        <v>0.0</v>
      </c>
      <c r="AA27" s="275">
        <v>2.5</v>
      </c>
      <c r="AB27" s="60" t="str">
        <f>IF(SUM('P106'!$Y27:$AA27)&gt;5.9,"SI","NO")</f>
        <v>NO</v>
      </c>
      <c r="AC27" s="61">
        <f>SUM('P106'!$Y27:$AA27)</f>
        <v>4</v>
      </c>
      <c r="AD27" s="62">
        <v>2.0</v>
      </c>
      <c r="AE27" s="62">
        <v>4.5</v>
      </c>
      <c r="AF27" s="63" t="str">
        <f>IF('P106'!$AG27&gt;5.9,"SI","NO")</f>
        <v>SI</v>
      </c>
      <c r="AG27" s="64">
        <f>SUM('P106'!$AD27:$AE27)</f>
        <v>6.5</v>
      </c>
      <c r="AH27" s="65">
        <v>4.0</v>
      </c>
      <c r="AI27" s="65">
        <v>5.0</v>
      </c>
      <c r="AJ27" s="66">
        <f>AVERAGE('P106'!$AH27:$AI27)</f>
        <v>4.5</v>
      </c>
      <c r="AK27" s="142">
        <v>1.0</v>
      </c>
      <c r="AL27" s="143">
        <v>0.0</v>
      </c>
      <c r="AM27" s="144">
        <v>0.0</v>
      </c>
      <c r="AN27" s="46">
        <f>(('P106'!$AL27+'P106'!$AM27))*'P106'!$AK27</f>
        <v>0</v>
      </c>
      <c r="AO27" s="70">
        <f t="shared" ref="AO27:AO30" si="4">9*H27</f>
        <v>8.017837254</v>
      </c>
      <c r="AP27" s="71">
        <f>SUM('P106'!$U27)</f>
        <v>17.27275237</v>
      </c>
      <c r="AQ27" s="71">
        <f>SUM(AN27,AJ27,AG27,AC27,X27,'P106'!$AO27)</f>
        <v>31.82522287</v>
      </c>
      <c r="AR27" s="247">
        <f>'P106'!$AP27+'P106'!$AQ27</f>
        <v>49.09797525</v>
      </c>
    </row>
    <row r="28" ht="14.25" customHeight="1">
      <c r="A28" s="250" t="s">
        <v>596</v>
      </c>
      <c r="B28" s="103">
        <v>2.02410882E8</v>
      </c>
      <c r="C28" s="103" t="s">
        <v>597</v>
      </c>
      <c r="D28" s="251">
        <v>6.0</v>
      </c>
      <c r="E28" s="49"/>
      <c r="F28" s="51">
        <v>0.5</v>
      </c>
      <c r="G28" s="51">
        <v>0.5</v>
      </c>
      <c r="H28" s="278">
        <v>1.0</v>
      </c>
      <c r="I28" s="274">
        <v>2.25</v>
      </c>
      <c r="J28" s="274">
        <v>2.0</v>
      </c>
      <c r="K28" s="274">
        <v>4.9</v>
      </c>
      <c r="L28" s="55">
        <f>SUM('P106'!$I28:$K28)</f>
        <v>9.15</v>
      </c>
      <c r="M28" s="52">
        <v>3.0</v>
      </c>
      <c r="N28" s="53">
        <v>2.0</v>
      </c>
      <c r="O28" s="54">
        <v>5.0</v>
      </c>
      <c r="P28" s="55">
        <f>SUM('P106'!$M28:$O28)</f>
        <v>10</v>
      </c>
      <c r="Q28" s="274">
        <v>3.0</v>
      </c>
      <c r="R28" s="274">
        <v>2.0</v>
      </c>
      <c r="S28" s="274">
        <v>4.4</v>
      </c>
      <c r="T28" s="55">
        <f>SUM('P106'!$Q28:$S28)</f>
        <v>9.4</v>
      </c>
      <c r="U28" s="56">
        <f>('P106'!$L28+'P106'!$P28+'P106'!$T28)*'P106'!$F28</f>
        <v>14.275</v>
      </c>
      <c r="V28" s="274">
        <v>4.8</v>
      </c>
      <c r="W28" s="274">
        <v>6.4</v>
      </c>
      <c r="X28" s="58">
        <f>SUM('P106'!$V28:$W28)*'P106'!$G28</f>
        <v>5.6</v>
      </c>
      <c r="Y28" s="59">
        <v>1.5</v>
      </c>
      <c r="Z28" s="275">
        <v>0.0</v>
      </c>
      <c r="AA28" s="275">
        <v>4.5</v>
      </c>
      <c r="AB28" s="60" t="str">
        <f>IF(SUM('P106'!$Y28:$AA28)&gt;5.9,"SI","NO")</f>
        <v>SI</v>
      </c>
      <c r="AC28" s="61">
        <f>SUM('P106'!$Y28:$AA28)</f>
        <v>6</v>
      </c>
      <c r="AD28" s="62">
        <v>0.75</v>
      </c>
      <c r="AE28" s="62">
        <v>6.0</v>
      </c>
      <c r="AF28" s="63" t="str">
        <f>IF('P106'!$AG28&gt;5.9,"SI","NO")</f>
        <v>SI</v>
      </c>
      <c r="AG28" s="64">
        <f>SUM('P106'!$AD28:$AE28)</f>
        <v>6.75</v>
      </c>
      <c r="AH28" s="65">
        <v>3.0</v>
      </c>
      <c r="AI28" s="65">
        <v>3.0</v>
      </c>
      <c r="AJ28" s="66">
        <f>AVERAGE('P106'!$AH28:$AI28)</f>
        <v>3</v>
      </c>
      <c r="AK28" s="142">
        <v>1.0</v>
      </c>
      <c r="AL28" s="143">
        <v>0.0</v>
      </c>
      <c r="AM28" s="144">
        <v>0.0</v>
      </c>
      <c r="AN28" s="46">
        <f>(('P106'!$AL28+'P106'!$AM28))*'P106'!$AK28</f>
        <v>0</v>
      </c>
      <c r="AO28" s="70">
        <f t="shared" si="4"/>
        <v>9</v>
      </c>
      <c r="AP28" s="71">
        <f>SUM('P106'!$U28)</f>
        <v>14.275</v>
      </c>
      <c r="AQ28" s="71">
        <f>SUM(AN28,AJ28,AG28,AC28,X28,'P106'!$AO28)</f>
        <v>30.35</v>
      </c>
      <c r="AR28" s="247">
        <f>'P106'!$AP28+'P106'!$AQ28</f>
        <v>44.625</v>
      </c>
    </row>
    <row r="29" ht="14.25" customHeight="1">
      <c r="A29" s="250" t="s">
        <v>598</v>
      </c>
      <c r="B29" s="103">
        <v>2.02510863E8</v>
      </c>
      <c r="C29" s="103" t="s">
        <v>599</v>
      </c>
      <c r="D29" s="251">
        <v>6.0</v>
      </c>
      <c r="E29" s="49"/>
      <c r="F29" s="51">
        <v>1.0</v>
      </c>
      <c r="G29" s="51">
        <v>1.0</v>
      </c>
      <c r="H29" s="51">
        <v>1.0</v>
      </c>
      <c r="I29" s="274">
        <v>3.0</v>
      </c>
      <c r="J29" s="274">
        <v>2.0</v>
      </c>
      <c r="K29" s="274">
        <v>4.9</v>
      </c>
      <c r="L29" s="55">
        <f>SUM('P106'!$I29:$K29)</f>
        <v>9.9</v>
      </c>
      <c r="M29" s="52">
        <v>3.0</v>
      </c>
      <c r="N29" s="53">
        <v>2.0</v>
      </c>
      <c r="O29" s="54">
        <v>5.0</v>
      </c>
      <c r="P29" s="55">
        <f>SUM('P106'!$M29:$O29)</f>
        <v>10</v>
      </c>
      <c r="Q29" s="274">
        <v>2.0</v>
      </c>
      <c r="R29" s="274">
        <v>2.0</v>
      </c>
      <c r="S29" s="274">
        <v>4.4</v>
      </c>
      <c r="T29" s="55">
        <f>SUM('P106'!$Q29:$S29)</f>
        <v>8.4</v>
      </c>
      <c r="U29" s="56">
        <f>('P106'!$L29+'P106'!$P29+'P106'!$T29)*'P106'!$F29</f>
        <v>28.3</v>
      </c>
      <c r="V29" s="274">
        <v>4.8</v>
      </c>
      <c r="W29" s="274">
        <v>6.4</v>
      </c>
      <c r="X29" s="58">
        <f>SUM('P106'!$V29:$W29)*'P106'!$G29</f>
        <v>11.2</v>
      </c>
      <c r="Y29" s="59">
        <v>1.5</v>
      </c>
      <c r="Z29" s="275">
        <v>3.0</v>
      </c>
      <c r="AA29" s="275">
        <v>3.75</v>
      </c>
      <c r="AB29" s="60" t="str">
        <f>IF(SUM('P106'!$Y29:$AA29)&gt;5.9,"SI","NO")</f>
        <v>SI</v>
      </c>
      <c r="AC29" s="61">
        <f>SUM('P106'!$Y29:$AA29)</f>
        <v>8.25</v>
      </c>
      <c r="AD29" s="62">
        <v>0.75</v>
      </c>
      <c r="AE29" s="62">
        <v>6.0</v>
      </c>
      <c r="AF29" s="63" t="str">
        <f>IF('P106'!$AG29&gt;5.9,"SI","NO")</f>
        <v>SI</v>
      </c>
      <c r="AG29" s="64">
        <f>SUM('P106'!$AD29:$AE29)</f>
        <v>6.75</v>
      </c>
      <c r="AH29" s="65">
        <v>3.0</v>
      </c>
      <c r="AI29" s="65">
        <v>3.0</v>
      </c>
      <c r="AJ29" s="66">
        <f>AVERAGE('P106'!$AH29:$AI29)</f>
        <v>3</v>
      </c>
      <c r="AK29" s="142">
        <v>1.0</v>
      </c>
      <c r="AL29" s="143">
        <v>5.0</v>
      </c>
      <c r="AM29" s="144">
        <v>5.0</v>
      </c>
      <c r="AN29" s="46">
        <f>(('P106'!$AL29+'P106'!$AM29))*'P106'!$AK29</f>
        <v>10</v>
      </c>
      <c r="AO29" s="70">
        <f t="shared" si="4"/>
        <v>9</v>
      </c>
      <c r="AP29" s="71">
        <f>SUM('P106'!$U29)</f>
        <v>28.3</v>
      </c>
      <c r="AQ29" s="71">
        <f>SUM(AN29,AJ29,AG29,AC29,X29,'P106'!$AO29)</f>
        <v>48.2</v>
      </c>
      <c r="AR29" s="247">
        <f>'P106'!$AP29+'P106'!$AQ29</f>
        <v>76.5</v>
      </c>
    </row>
    <row r="30" ht="14.25" customHeight="1">
      <c r="A30" s="250" t="s">
        <v>600</v>
      </c>
      <c r="B30" s="103">
        <v>2.02500575E8</v>
      </c>
      <c r="C30" s="103" t="s">
        <v>601</v>
      </c>
      <c r="D30" s="251">
        <v>7.0</v>
      </c>
      <c r="E30" s="49"/>
      <c r="F30" s="51">
        <v>1.091089451</v>
      </c>
      <c r="G30" s="51">
        <v>1.135923668</v>
      </c>
      <c r="H30" s="51">
        <v>1.110825442</v>
      </c>
      <c r="I30" s="274">
        <v>2.25</v>
      </c>
      <c r="J30" s="274">
        <v>1.25</v>
      </c>
      <c r="K30" s="274">
        <v>2.3</v>
      </c>
      <c r="L30" s="55">
        <f>SUM('P106'!$I30:$K30)</f>
        <v>5.8</v>
      </c>
      <c r="M30" s="52">
        <v>3.0</v>
      </c>
      <c r="N30" s="53">
        <v>2.0</v>
      </c>
      <c r="O30" s="54">
        <v>5.0</v>
      </c>
      <c r="P30" s="55">
        <f>SUM('P106'!$M30:$O30)</f>
        <v>10</v>
      </c>
      <c r="Q30" s="274">
        <v>2.0</v>
      </c>
      <c r="R30" s="274">
        <v>1.25</v>
      </c>
      <c r="S30" s="277">
        <v>5.0</v>
      </c>
      <c r="T30" s="55">
        <f>SUM('P106'!$Q30:$S30)</f>
        <v>8.25</v>
      </c>
      <c r="U30" s="56">
        <f>('P106'!$L30+'P106'!$P30+'P106'!$T30)*'P106'!$F30</f>
        <v>26.2407013</v>
      </c>
      <c r="V30" s="274">
        <v>4.65</v>
      </c>
      <c r="W30" s="277">
        <v>10.0</v>
      </c>
      <c r="X30" s="58">
        <f>SUM('P106'!$V30:$W30)*'P106'!$G30</f>
        <v>16.64128174</v>
      </c>
      <c r="Y30" s="59">
        <v>1.5</v>
      </c>
      <c r="Z30" s="59">
        <v>0.0</v>
      </c>
      <c r="AA30" s="59">
        <v>5.0</v>
      </c>
      <c r="AB30" s="60" t="str">
        <f>IF(SUM('P106'!$Y30:$AA30)&gt;5.9,"SI","NO")</f>
        <v>SI</v>
      </c>
      <c r="AC30" s="61">
        <f>SUM('P106'!$Y30:$AA30)</f>
        <v>6.5</v>
      </c>
      <c r="AD30" s="62">
        <v>1.5</v>
      </c>
      <c r="AE30" s="62">
        <v>4.5</v>
      </c>
      <c r="AF30" s="63" t="str">
        <f>IF('P106'!$AG30&gt;5.9,"SI","NO")</f>
        <v>SI</v>
      </c>
      <c r="AG30" s="64">
        <f>SUM('P106'!$AD30:$AE30)</f>
        <v>6</v>
      </c>
      <c r="AH30" s="65">
        <v>5.0</v>
      </c>
      <c r="AI30" s="65">
        <v>3.0</v>
      </c>
      <c r="AJ30" s="66">
        <f>AVERAGE('P106'!$AH30:$AI30)</f>
        <v>4</v>
      </c>
      <c r="AK30" s="142">
        <v>1.0</v>
      </c>
      <c r="AL30" s="143">
        <v>7.5</v>
      </c>
      <c r="AM30" s="144">
        <v>4.5</v>
      </c>
      <c r="AN30" s="46">
        <f>(('P106'!$AL30+'P106'!$AM30))*'P106'!$AK30</f>
        <v>12</v>
      </c>
      <c r="AO30" s="70">
        <f t="shared" si="4"/>
        <v>9.997428978</v>
      </c>
      <c r="AP30" s="71">
        <f>SUM('P106'!$U30)</f>
        <v>26.2407013</v>
      </c>
      <c r="AQ30" s="71">
        <f>SUM(AN30,AJ30,AG30,AC30,X30,'P106'!$AO30)</f>
        <v>55.13871071</v>
      </c>
      <c r="AR30" s="247">
        <f>'P106'!$AP30+'P106'!$AQ30</f>
        <v>81.37941201</v>
      </c>
    </row>
    <row r="31" ht="14.25" customHeight="1">
      <c r="A31" s="250" t="s">
        <v>602</v>
      </c>
      <c r="B31" s="103">
        <v>2.02509089E8</v>
      </c>
      <c r="C31" s="103" t="s">
        <v>603</v>
      </c>
      <c r="D31" s="251">
        <v>4.0</v>
      </c>
      <c r="E31" s="49"/>
      <c r="F31" s="51">
        <v>1.037279792</v>
      </c>
      <c r="G31" s="51">
        <v>1.069611049</v>
      </c>
      <c r="H31" s="51">
        <v>1.047873664</v>
      </c>
      <c r="I31" s="274">
        <v>3.0</v>
      </c>
      <c r="J31" s="274">
        <v>2.0</v>
      </c>
      <c r="K31" s="274">
        <v>4.6</v>
      </c>
      <c r="L31" s="55">
        <f>SUM('P106'!$I31:$K31)</f>
        <v>9.6</v>
      </c>
      <c r="M31" s="52">
        <v>3.0</v>
      </c>
      <c r="N31" s="53">
        <v>2.0</v>
      </c>
      <c r="O31" s="54">
        <v>5.0</v>
      </c>
      <c r="P31" s="55">
        <f>SUM('P106'!$M31:$O31)</f>
        <v>10</v>
      </c>
      <c r="Q31" s="274">
        <v>1.5</v>
      </c>
      <c r="R31" s="274">
        <v>2.0</v>
      </c>
      <c r="S31" s="274">
        <v>4.9</v>
      </c>
      <c r="T31" s="55">
        <f>SUM('P106'!$Q31:$S31)</f>
        <v>8.4</v>
      </c>
      <c r="U31" s="56">
        <f>('P106'!$L31+'P106'!$P31+'P106'!$T31)*'P106'!$F31</f>
        <v>29.04383418</v>
      </c>
      <c r="V31" s="274">
        <v>2.6</v>
      </c>
      <c r="W31" s="274">
        <v>5.4</v>
      </c>
      <c r="X31" s="58">
        <f>SUM('P106'!$V31:$W31)*'P106'!$G31</f>
        <v>8.556888392</v>
      </c>
      <c r="Y31" s="59">
        <v>1.0</v>
      </c>
      <c r="Z31" s="275">
        <v>2.5</v>
      </c>
      <c r="AA31" s="275">
        <v>2.5</v>
      </c>
      <c r="AB31" s="60" t="str">
        <f>IF(SUM('P106'!$Y31:$AA31)&gt;5.9,"SI","NO")</f>
        <v>SI</v>
      </c>
      <c r="AC31" s="61">
        <f>SUM('P106'!$Y31:$AA31)</f>
        <v>6</v>
      </c>
      <c r="AD31" s="62">
        <v>1.0</v>
      </c>
      <c r="AE31" s="62">
        <v>6.0</v>
      </c>
      <c r="AF31" s="63" t="str">
        <f>IF('P106'!$AG31&gt;5.9,"SI","NO")</f>
        <v>SI</v>
      </c>
      <c r="AG31" s="64">
        <f>SUM('P106'!$AD31:$AE31)</f>
        <v>7</v>
      </c>
      <c r="AH31" s="65">
        <v>3.5</v>
      </c>
      <c r="AI31" s="65">
        <v>3.0</v>
      </c>
      <c r="AJ31" s="66">
        <f>AVERAGE('P106'!$AH31:$AI31)</f>
        <v>3.25</v>
      </c>
      <c r="AK31" s="142">
        <v>1.0</v>
      </c>
      <c r="AL31" s="143">
        <v>4.0</v>
      </c>
      <c r="AM31" s="143">
        <v>2.5</v>
      </c>
      <c r="AN31" s="46">
        <f>(('P106'!$AL31+'P106'!$AM31))*'P106'!$AK31</f>
        <v>6.5</v>
      </c>
      <c r="AO31" s="70">
        <f>10*H31</f>
        <v>10.47873664</v>
      </c>
      <c r="AP31" s="71">
        <f>SUM('P106'!$U31)</f>
        <v>29.04383418</v>
      </c>
      <c r="AQ31" s="71">
        <f>SUM(AN31,AJ31,AG31,AC31,X31,'P106'!$AO31)</f>
        <v>41.78562503</v>
      </c>
      <c r="AR31" s="247">
        <f>'P106'!$AP31+'P106'!$AQ31</f>
        <v>70.82945921</v>
      </c>
    </row>
    <row r="32" ht="14.25" customHeight="1">
      <c r="A32" s="250" t="s">
        <v>604</v>
      </c>
      <c r="B32" s="103">
        <v>2.02316279E8</v>
      </c>
      <c r="C32" s="103" t="s">
        <v>605</v>
      </c>
      <c r="D32" s="251">
        <v>9.0</v>
      </c>
      <c r="E32" s="49"/>
      <c r="F32" s="51">
        <v>1.0</v>
      </c>
      <c r="G32" s="51">
        <v>0.99659863</v>
      </c>
      <c r="H32" s="51">
        <v>0.980580676</v>
      </c>
      <c r="I32" s="274">
        <v>3.0</v>
      </c>
      <c r="J32" s="274">
        <v>0.75</v>
      </c>
      <c r="K32" s="276">
        <v>4.1</v>
      </c>
      <c r="L32" s="55">
        <f>SUM('P106'!$I32:$K32)</f>
        <v>7.85</v>
      </c>
      <c r="M32" s="52">
        <v>3.0</v>
      </c>
      <c r="N32" s="53">
        <v>2.0</v>
      </c>
      <c r="O32" s="54">
        <v>5.0</v>
      </c>
      <c r="P32" s="55">
        <f>SUM('P106'!$M32:$O32)</f>
        <v>10</v>
      </c>
      <c r="Q32" s="274">
        <v>3.0</v>
      </c>
      <c r="R32" s="274">
        <v>1.5</v>
      </c>
      <c r="S32" s="277">
        <v>5.0</v>
      </c>
      <c r="T32" s="55">
        <f>SUM('P106'!$Q32:$S32)</f>
        <v>9.5</v>
      </c>
      <c r="U32" s="56">
        <f>('P106'!$L32+'P106'!$P32+'P106'!$T32)*'P106'!$F32</f>
        <v>27.35</v>
      </c>
      <c r="V32" s="274">
        <v>5.0</v>
      </c>
      <c r="W32" s="274">
        <v>7.3</v>
      </c>
      <c r="X32" s="58">
        <f>SUM('P106'!$V32:$W32)*'P106'!$G32</f>
        <v>12.25816315</v>
      </c>
      <c r="Y32" s="80">
        <v>1.0</v>
      </c>
      <c r="Z32" s="275">
        <v>0.0</v>
      </c>
      <c r="AA32" s="275">
        <v>2.5</v>
      </c>
      <c r="AB32" s="60" t="str">
        <f>IF(SUM('P106'!$Y32:$AA32)&gt;5.9,"SI","NO")</f>
        <v>NO</v>
      </c>
      <c r="AC32" s="61">
        <f>SUM('P106'!$Y32:$AA32)</f>
        <v>3.5</v>
      </c>
      <c r="AD32" s="62">
        <v>2.0</v>
      </c>
      <c r="AE32" s="62">
        <v>6.0</v>
      </c>
      <c r="AF32" s="63" t="str">
        <f>IF('P106'!$AG32&gt;5.9,"SI","NO")</f>
        <v>SI</v>
      </c>
      <c r="AG32" s="64">
        <f>SUM('P106'!$AD32:$AE32)</f>
        <v>8</v>
      </c>
      <c r="AH32" s="65">
        <v>4.5</v>
      </c>
      <c r="AI32" s="65">
        <v>4.25</v>
      </c>
      <c r="AJ32" s="66">
        <f>AVERAGE('P106'!$AH32:$AI32)</f>
        <v>4.375</v>
      </c>
      <c r="AK32" s="142">
        <v>1.0</v>
      </c>
      <c r="AL32" s="143">
        <v>0.0</v>
      </c>
      <c r="AM32" s="144">
        <v>0.0</v>
      </c>
      <c r="AN32" s="46">
        <f>(('P106'!$AL32+'P106'!$AM32))*'P106'!$AK32</f>
        <v>0</v>
      </c>
      <c r="AO32" s="70">
        <f t="shared" ref="AO32:AO34" si="5">9*H32</f>
        <v>8.825226084</v>
      </c>
      <c r="AP32" s="71">
        <f>SUM('P106'!$U32)</f>
        <v>27.35</v>
      </c>
      <c r="AQ32" s="71">
        <f>SUM(AN32,AJ32,AG32,AC32,X32,'P106'!$AO32)</f>
        <v>36.95838923</v>
      </c>
      <c r="AR32" s="247">
        <f>'P106'!$AP32+'P106'!$AQ32</f>
        <v>64.30838923</v>
      </c>
    </row>
    <row r="33" ht="14.25" customHeight="1">
      <c r="A33" s="250" t="s">
        <v>606</v>
      </c>
      <c r="B33" s="103">
        <v>2.02404646E8</v>
      </c>
      <c r="C33" s="103" t="s">
        <v>607</v>
      </c>
      <c r="D33" s="251">
        <v>5.0</v>
      </c>
      <c r="E33" s="49"/>
      <c r="F33" s="51">
        <v>0.5</v>
      </c>
      <c r="G33" s="51">
        <v>1.0</v>
      </c>
      <c r="H33" s="51">
        <v>0.5</v>
      </c>
      <c r="I33" s="274">
        <v>2.25</v>
      </c>
      <c r="J33" s="274">
        <v>2.0</v>
      </c>
      <c r="K33" s="274">
        <v>4.9</v>
      </c>
      <c r="L33" s="55">
        <f>SUM('P106'!$I33:$K33)</f>
        <v>9.15</v>
      </c>
      <c r="M33" s="52">
        <v>3.0</v>
      </c>
      <c r="N33" s="53">
        <v>2.0</v>
      </c>
      <c r="O33" s="54">
        <v>5.0</v>
      </c>
      <c r="P33" s="55">
        <f>SUM('P106'!$M33:$O33)</f>
        <v>10</v>
      </c>
      <c r="Q33" s="274">
        <v>3.0</v>
      </c>
      <c r="R33" s="274">
        <v>1.5</v>
      </c>
      <c r="S33" s="274">
        <v>4.0</v>
      </c>
      <c r="T33" s="55">
        <f>SUM('P106'!$Q33:$S33)</f>
        <v>8.5</v>
      </c>
      <c r="U33" s="56">
        <f>('P106'!$L33+'P106'!$P33+'P106'!$T33)*'P106'!$F33</f>
        <v>13.825</v>
      </c>
      <c r="V33" s="274">
        <v>3.0</v>
      </c>
      <c r="W33" s="274">
        <v>7.7</v>
      </c>
      <c r="X33" s="58">
        <f>SUM('P106'!$V33:$W33)*'P106'!$G33</f>
        <v>10.7</v>
      </c>
      <c r="Y33" s="59">
        <v>0.5</v>
      </c>
      <c r="Z33" s="275">
        <v>1.5</v>
      </c>
      <c r="AA33" s="275">
        <v>0.0</v>
      </c>
      <c r="AB33" s="60" t="str">
        <f>IF(SUM('P106'!$Y33:$AA33)&gt;5.9,"SI","NO")</f>
        <v>NO</v>
      </c>
      <c r="AC33" s="61">
        <f>SUM('P106'!$Y33:$AA33)</f>
        <v>2</v>
      </c>
      <c r="AD33" s="62">
        <v>1.8</v>
      </c>
      <c r="AE33" s="62">
        <v>6.7</v>
      </c>
      <c r="AF33" s="63" t="str">
        <f>IF('P106'!$AG33&gt;5.9,"SI","NO")</f>
        <v>SI</v>
      </c>
      <c r="AG33" s="64">
        <f>SUM('P106'!$AD33:$AE33)</f>
        <v>8.5</v>
      </c>
      <c r="AH33" s="65">
        <v>3.0</v>
      </c>
      <c r="AI33" s="65">
        <v>2.0</v>
      </c>
      <c r="AJ33" s="66">
        <f>AVERAGE('P106'!$AH33:$AI33)</f>
        <v>2.5</v>
      </c>
      <c r="AK33" s="142">
        <v>1.0</v>
      </c>
      <c r="AL33" s="143">
        <v>0.0</v>
      </c>
      <c r="AM33" s="144">
        <v>0.0</v>
      </c>
      <c r="AN33" s="46">
        <f>(('P106'!$AL33+'P106'!$AM33))*'P106'!$AK33</f>
        <v>0</v>
      </c>
      <c r="AO33" s="70">
        <f t="shared" si="5"/>
        <v>4.5</v>
      </c>
      <c r="AP33" s="71">
        <f>SUM('P106'!$U33)</f>
        <v>13.825</v>
      </c>
      <c r="AQ33" s="71">
        <f>SUM(AN33,AJ33,AG33,AC33,X33,'P106'!$AO33)</f>
        <v>28.2</v>
      </c>
      <c r="AR33" s="247">
        <f>'P106'!$AP33+'P106'!$AQ33</f>
        <v>42.025</v>
      </c>
    </row>
    <row r="34" ht="14.25" customHeight="1">
      <c r="A34" s="250" t="s">
        <v>608</v>
      </c>
      <c r="B34" s="103">
        <v>2.02500278E8</v>
      </c>
      <c r="C34" s="103" t="s">
        <v>609</v>
      </c>
      <c r="D34" s="251">
        <v>3.0</v>
      </c>
      <c r="E34" s="49"/>
      <c r="F34" s="51">
        <v>1.0</v>
      </c>
      <c r="G34" s="51">
        <v>1.0</v>
      </c>
      <c r="H34" s="51">
        <v>1.0</v>
      </c>
      <c r="I34" s="274">
        <v>2.25</v>
      </c>
      <c r="J34" s="274">
        <v>2.0</v>
      </c>
      <c r="K34" s="274">
        <v>5.0</v>
      </c>
      <c r="L34" s="55">
        <f>SUM('P106'!$I34:$K34)</f>
        <v>9.25</v>
      </c>
      <c r="M34" s="52">
        <v>3.0</v>
      </c>
      <c r="N34" s="53">
        <v>2.0</v>
      </c>
      <c r="O34" s="54">
        <v>5.0</v>
      </c>
      <c r="P34" s="55">
        <f>SUM('P106'!$M34:$O34)</f>
        <v>10</v>
      </c>
      <c r="Q34" s="274">
        <v>3.0</v>
      </c>
      <c r="R34" s="274">
        <v>2.0</v>
      </c>
      <c r="S34" s="274">
        <v>4.3</v>
      </c>
      <c r="T34" s="55">
        <f>SUM('P106'!$Q34:$S34)</f>
        <v>9.3</v>
      </c>
      <c r="U34" s="56">
        <f>('P106'!$L34+'P106'!$P34+'P106'!$T34)*'P106'!$F34</f>
        <v>28.55</v>
      </c>
      <c r="V34" s="274">
        <v>2.95</v>
      </c>
      <c r="W34" s="274">
        <v>9.1</v>
      </c>
      <c r="X34" s="58">
        <f>SUM('P106'!$V34:$W34)*'P106'!$G34</f>
        <v>12.05</v>
      </c>
      <c r="Y34" s="59">
        <v>1.5</v>
      </c>
      <c r="Z34" s="275">
        <v>1.2</v>
      </c>
      <c r="AA34" s="275">
        <v>1.25</v>
      </c>
      <c r="AB34" s="60" t="str">
        <f>IF(SUM('P106'!$Y34:$AA34)&gt;5.9,"SI","NO")</f>
        <v>NO</v>
      </c>
      <c r="AC34" s="61">
        <f>SUM('P106'!$Y34:$AA34)</f>
        <v>3.95</v>
      </c>
      <c r="AD34" s="62">
        <v>1.9</v>
      </c>
      <c r="AE34" s="62">
        <v>0.0</v>
      </c>
      <c r="AF34" s="63" t="str">
        <f>IF('P106'!$AG34&gt;5.9,"SI","NO")</f>
        <v>NO</v>
      </c>
      <c r="AG34" s="64">
        <f>SUM('P106'!$AD34:$AE34)</f>
        <v>1.9</v>
      </c>
      <c r="AH34" s="65">
        <v>2.5</v>
      </c>
      <c r="AI34" s="65">
        <v>2.5</v>
      </c>
      <c r="AJ34" s="66">
        <f>AVERAGE('P106'!$AH34:$AI34)</f>
        <v>2.5</v>
      </c>
      <c r="AK34" s="142">
        <v>0.0</v>
      </c>
      <c r="AL34" s="143">
        <v>0.0</v>
      </c>
      <c r="AM34" s="144">
        <v>0.0</v>
      </c>
      <c r="AN34" s="46">
        <f>(('P106'!$AL34+'P106'!$AM34))*'P106'!$AK34</f>
        <v>0</v>
      </c>
      <c r="AO34" s="70">
        <f t="shared" si="5"/>
        <v>9</v>
      </c>
      <c r="AP34" s="71">
        <f>SUM('P106'!$U34)</f>
        <v>28.55</v>
      </c>
      <c r="AQ34" s="71">
        <f>SUM(AN34,AJ34,AG34,AC34,X34,'P106'!$AO34)</f>
        <v>29.4</v>
      </c>
      <c r="AR34" s="247">
        <f>'P106'!$AP34+'P106'!$AQ34</f>
        <v>57.95</v>
      </c>
    </row>
    <row r="35" ht="14.25" customHeight="1">
      <c r="A35" s="250" t="s">
        <v>610</v>
      </c>
      <c r="B35" s="103">
        <v>2.02315354E8</v>
      </c>
      <c r="C35" s="103" t="s">
        <v>611</v>
      </c>
      <c r="D35" s="251">
        <v>2.0</v>
      </c>
      <c r="E35" s="49"/>
      <c r="F35" s="51">
        <v>0.5</v>
      </c>
      <c r="G35" s="51">
        <v>1.290994449</v>
      </c>
      <c r="H35" s="51">
        <v>1.276154939</v>
      </c>
      <c r="I35" s="274">
        <v>2.25</v>
      </c>
      <c r="J35" s="274">
        <v>2.0</v>
      </c>
      <c r="K35" s="274">
        <v>5.0</v>
      </c>
      <c r="L35" s="55">
        <f>SUM('P106'!$I35:$K35)</f>
        <v>9.25</v>
      </c>
      <c r="M35" s="52">
        <v>3.0</v>
      </c>
      <c r="N35" s="53">
        <v>2.0</v>
      </c>
      <c r="O35" s="54">
        <v>5.0</v>
      </c>
      <c r="P35" s="55">
        <f>SUM('P106'!$M35:$O35)</f>
        <v>10</v>
      </c>
      <c r="Q35" s="274">
        <v>2.25</v>
      </c>
      <c r="R35" s="274">
        <v>1.5</v>
      </c>
      <c r="S35" s="274">
        <v>5.0</v>
      </c>
      <c r="T35" s="55">
        <f>SUM('P106'!$Q35:$S35)</f>
        <v>8.75</v>
      </c>
      <c r="U35" s="56">
        <f>('P106'!$L35+'P106'!$P35+'P106'!$T35)*'P106'!$F35</f>
        <v>14</v>
      </c>
      <c r="V35" s="274">
        <v>2.8</v>
      </c>
      <c r="W35" s="274">
        <v>9.4</v>
      </c>
      <c r="X35" s="58">
        <f>SUM('P106'!$V35:$W35)*'P106'!$G35</f>
        <v>15.75013228</v>
      </c>
      <c r="Y35" s="59">
        <v>0.0</v>
      </c>
      <c r="Z35" s="275">
        <v>0.0</v>
      </c>
      <c r="AA35" s="275">
        <v>0.0</v>
      </c>
      <c r="AB35" s="60" t="str">
        <f>IF(SUM('P106'!$Y35:$AA35)&gt;5.9,"SI","NO")</f>
        <v>NO</v>
      </c>
      <c r="AC35" s="61">
        <f>SUM('P106'!$Y35:$AA35)</f>
        <v>0</v>
      </c>
      <c r="AD35" s="62">
        <v>1.5</v>
      </c>
      <c r="AE35" s="62">
        <v>7.5</v>
      </c>
      <c r="AF35" s="63" t="str">
        <f>IF('P106'!$AG35&gt;5.9,"SI","NO")</f>
        <v>SI</v>
      </c>
      <c r="AG35" s="64">
        <f>SUM('P106'!$AD35:$AE35)</f>
        <v>9</v>
      </c>
      <c r="AH35" s="65">
        <v>5.0</v>
      </c>
      <c r="AI35" s="65">
        <v>4.5</v>
      </c>
      <c r="AJ35" s="66">
        <f>AVERAGE('P106'!$AH35:$AI35)</f>
        <v>4.75</v>
      </c>
      <c r="AK35" s="142">
        <v>1.0</v>
      </c>
      <c r="AL35" s="143">
        <v>0.0</v>
      </c>
      <c r="AM35" s="144">
        <v>0.0</v>
      </c>
      <c r="AN35" s="46">
        <f>(('P106'!$AL35+'P106'!$AM35))*'P106'!$AK35</f>
        <v>0</v>
      </c>
      <c r="AO35" s="70">
        <f>0*H35</f>
        <v>0</v>
      </c>
      <c r="AP35" s="71">
        <f>SUM('P106'!$U35)</f>
        <v>14</v>
      </c>
      <c r="AQ35" s="71">
        <f>SUM(AN35,AJ35,AG35,AC35,X35,'P106'!$AO35)</f>
        <v>29.50013228</v>
      </c>
      <c r="AR35" s="247">
        <f>'P106'!$AP35+'P106'!$AQ35</f>
        <v>43.50013228</v>
      </c>
    </row>
    <row r="36" ht="14.25" customHeight="1">
      <c r="A36" s="250" t="s">
        <v>612</v>
      </c>
      <c r="B36" s="103">
        <v>2.02507893E8</v>
      </c>
      <c r="C36" s="103" t="s">
        <v>613</v>
      </c>
      <c r="D36" s="251">
        <v>7.0</v>
      </c>
      <c r="E36" s="49"/>
      <c r="F36" s="51">
        <v>1.091089451</v>
      </c>
      <c r="G36" s="51">
        <v>0.5</v>
      </c>
      <c r="H36" s="51">
        <v>0.906985175</v>
      </c>
      <c r="I36" s="274">
        <v>2.25</v>
      </c>
      <c r="J36" s="274">
        <v>1.25</v>
      </c>
      <c r="K36" s="274">
        <v>2.3</v>
      </c>
      <c r="L36" s="55">
        <f>SUM('P106'!$I36:$K36)</f>
        <v>5.8</v>
      </c>
      <c r="M36" s="52">
        <v>3.0</v>
      </c>
      <c r="N36" s="53">
        <v>2.0</v>
      </c>
      <c r="O36" s="54">
        <v>5.0</v>
      </c>
      <c r="P36" s="55">
        <f>SUM('P106'!$M36:$O36)</f>
        <v>10</v>
      </c>
      <c r="Q36" s="274">
        <v>2.75</v>
      </c>
      <c r="R36" s="274">
        <v>1.25</v>
      </c>
      <c r="S36" s="277">
        <v>5.0</v>
      </c>
      <c r="T36" s="55">
        <f>SUM('P106'!$Q36:$S36)</f>
        <v>9</v>
      </c>
      <c r="U36" s="56">
        <f>('P106'!$L36+'P106'!$P36+'P106'!$T36)*'P106'!$F36</f>
        <v>27.05901838</v>
      </c>
      <c r="V36" s="274">
        <v>4.65</v>
      </c>
      <c r="W36" s="277">
        <v>10.0</v>
      </c>
      <c r="X36" s="58">
        <f>SUM('P106'!$V36:$W36)*'P106'!$G36</f>
        <v>7.325</v>
      </c>
      <c r="Y36" s="59">
        <v>1.0</v>
      </c>
      <c r="Z36" s="275">
        <v>3.0</v>
      </c>
      <c r="AA36" s="275">
        <v>5.0</v>
      </c>
      <c r="AB36" s="60" t="str">
        <f>IF(SUM('P106'!$Y36:$AA36)&gt;5.9,"SI","NO")</f>
        <v>SI</v>
      </c>
      <c r="AC36" s="61">
        <f>SUM('P106'!$Y36:$AA36)</f>
        <v>9</v>
      </c>
      <c r="AD36" s="62">
        <v>1.5</v>
      </c>
      <c r="AE36" s="62">
        <v>4.5</v>
      </c>
      <c r="AF36" s="63" t="str">
        <f>IF('P106'!$AG36&gt;5.9,"SI","NO")</f>
        <v>SI</v>
      </c>
      <c r="AG36" s="64">
        <f>SUM('P106'!$AD36:$AE36)</f>
        <v>6</v>
      </c>
      <c r="AH36" s="65">
        <v>5.0</v>
      </c>
      <c r="AI36" s="65">
        <v>3.0</v>
      </c>
      <c r="AJ36" s="66">
        <f>AVERAGE('P106'!$AH36:$AI36)</f>
        <v>4</v>
      </c>
      <c r="AK36" s="142">
        <v>1.0</v>
      </c>
      <c r="AL36" s="143">
        <v>2.5</v>
      </c>
      <c r="AM36" s="144">
        <v>4.5</v>
      </c>
      <c r="AN36" s="46">
        <f>(('P106'!$AL36+'P106'!$AM36))*'P106'!$AK36</f>
        <v>7</v>
      </c>
      <c r="AO36" s="70">
        <f t="shared" ref="AO36:AO43" si="6">9*H36</f>
        <v>8.162866575</v>
      </c>
      <c r="AP36" s="71">
        <f>SUM('P106'!$U36)</f>
        <v>27.05901838</v>
      </c>
      <c r="AQ36" s="71">
        <f>SUM(AN36,AJ36,AG36,AC36,X36,'P106'!$AO36)</f>
        <v>41.48786658</v>
      </c>
      <c r="AR36" s="247">
        <f>'P106'!$AP36+'P106'!$AQ36</f>
        <v>68.54688496</v>
      </c>
    </row>
    <row r="37" ht="14.25" customHeight="1">
      <c r="A37" s="250" t="s">
        <v>614</v>
      </c>
      <c r="B37" s="103">
        <v>2.02503819E8</v>
      </c>
      <c r="C37" s="103" t="s">
        <v>615</v>
      </c>
      <c r="D37" s="251">
        <v>8.0</v>
      </c>
      <c r="E37" s="49"/>
      <c r="F37" s="51">
        <v>1.043991502</v>
      </c>
      <c r="G37" s="51">
        <v>1.043341212</v>
      </c>
      <c r="H37" s="51">
        <v>1.028689</v>
      </c>
      <c r="I37" s="274">
        <v>3.0</v>
      </c>
      <c r="J37" s="274">
        <v>1.0</v>
      </c>
      <c r="K37" s="274">
        <v>4.9</v>
      </c>
      <c r="L37" s="55">
        <f>SUM('P106'!$I37:$K37)</f>
        <v>8.9</v>
      </c>
      <c r="M37" s="52">
        <v>3.0</v>
      </c>
      <c r="N37" s="53">
        <v>2.0</v>
      </c>
      <c r="O37" s="54">
        <v>5.0</v>
      </c>
      <c r="P37" s="55">
        <f>SUM('P106'!$M37:$O37)</f>
        <v>10</v>
      </c>
      <c r="Q37" s="274">
        <v>3.0</v>
      </c>
      <c r="R37" s="274">
        <v>2.0</v>
      </c>
      <c r="S37" s="277">
        <v>4.9</v>
      </c>
      <c r="T37" s="55">
        <f>SUM('P106'!$Q37:$S37)</f>
        <v>9.9</v>
      </c>
      <c r="U37" s="56">
        <f>('P106'!$L37+'P106'!$P37+'P106'!$T37)*'P106'!$F37</f>
        <v>30.06695526</v>
      </c>
      <c r="V37" s="274">
        <v>4.15</v>
      </c>
      <c r="W37" s="274">
        <v>6.3</v>
      </c>
      <c r="X37" s="58">
        <f>SUM('P106'!$V37:$W37)*'P106'!$G37</f>
        <v>10.90291567</v>
      </c>
      <c r="Y37" s="59">
        <v>2.0</v>
      </c>
      <c r="Z37" s="275">
        <v>0.0</v>
      </c>
      <c r="AA37" s="275">
        <v>2.5</v>
      </c>
      <c r="AB37" s="60" t="str">
        <f>IF(SUM('P106'!$Y37:$AA37)&gt;5.9,"SI","NO")</f>
        <v>NO</v>
      </c>
      <c r="AC37" s="61">
        <f>SUM('P106'!$Y37:$AA37)</f>
        <v>4.5</v>
      </c>
      <c r="AD37" s="62">
        <v>2.0</v>
      </c>
      <c r="AE37" s="62">
        <v>4.5</v>
      </c>
      <c r="AF37" s="63" t="str">
        <f>IF('P106'!$AG37&gt;5.9,"SI","NO")</f>
        <v>SI</v>
      </c>
      <c r="AG37" s="64">
        <f>SUM('P106'!$AD37:$AE37)</f>
        <v>6.5</v>
      </c>
      <c r="AH37" s="65">
        <v>4.0</v>
      </c>
      <c r="AI37" s="65">
        <v>5.0</v>
      </c>
      <c r="AJ37" s="66">
        <f>AVERAGE('P106'!$AH37:$AI37)</f>
        <v>4.5</v>
      </c>
      <c r="AK37" s="142">
        <v>1.0</v>
      </c>
      <c r="AL37" s="143">
        <v>7.0</v>
      </c>
      <c r="AM37" s="144">
        <v>9.0</v>
      </c>
      <c r="AN37" s="46">
        <f>(('P106'!$AL37+'P106'!$AM37))*'P106'!$AK37</f>
        <v>16</v>
      </c>
      <c r="AO37" s="70">
        <f t="shared" si="6"/>
        <v>9.258201</v>
      </c>
      <c r="AP37" s="71">
        <f>SUM('P106'!$U37)</f>
        <v>30.06695526</v>
      </c>
      <c r="AQ37" s="71">
        <f>SUM(AN37,AJ37,AG37,AC37,X37,'P106'!$AO37)</f>
        <v>51.66111667</v>
      </c>
      <c r="AR37" s="247">
        <f>'P106'!$AP37+'P106'!$AQ37</f>
        <v>81.72807192</v>
      </c>
    </row>
    <row r="38" ht="14.25" customHeight="1">
      <c r="A38" s="250" t="s">
        <v>616</v>
      </c>
      <c r="B38" s="103">
        <v>2.02405718E8</v>
      </c>
      <c r="C38" s="103" t="s">
        <v>617</v>
      </c>
      <c r="D38" s="251">
        <v>7.0</v>
      </c>
      <c r="E38" s="49"/>
      <c r="F38" s="51">
        <v>1.083791112</v>
      </c>
      <c r="G38" s="51">
        <v>0.5</v>
      </c>
      <c r="H38" s="51">
        <v>1.110825442</v>
      </c>
      <c r="I38" s="274">
        <v>3.0</v>
      </c>
      <c r="J38" s="274">
        <v>1.25</v>
      </c>
      <c r="K38" s="274">
        <v>2.3</v>
      </c>
      <c r="L38" s="55">
        <f>SUM('P106'!$I38:$K38)</f>
        <v>6.55</v>
      </c>
      <c r="M38" s="52">
        <v>3.0</v>
      </c>
      <c r="N38" s="53">
        <v>2.0</v>
      </c>
      <c r="O38" s="54">
        <v>5.0</v>
      </c>
      <c r="P38" s="55">
        <f>SUM('P106'!$M38:$O38)</f>
        <v>10</v>
      </c>
      <c r="Q38" s="274">
        <v>1.5</v>
      </c>
      <c r="R38" s="274">
        <v>1.25</v>
      </c>
      <c r="S38" s="277">
        <v>0.0</v>
      </c>
      <c r="T38" s="55">
        <f>SUM('P106'!$Q38:$S38)</f>
        <v>2.75</v>
      </c>
      <c r="U38" s="56">
        <f>('P106'!$L38+'P106'!$P38+'P106'!$T38)*'P106'!$F38</f>
        <v>20.91716846</v>
      </c>
      <c r="V38" s="274">
        <v>4.65</v>
      </c>
      <c r="W38" s="277">
        <v>10.0</v>
      </c>
      <c r="X38" s="58">
        <f>SUM('P106'!$V38:$W38)*'P106'!$G38</f>
        <v>7.325</v>
      </c>
      <c r="Y38" s="59">
        <v>1.5</v>
      </c>
      <c r="Z38" s="275">
        <v>2.0</v>
      </c>
      <c r="AA38" s="275">
        <v>2.5</v>
      </c>
      <c r="AB38" s="60" t="str">
        <f>IF(SUM('P106'!$Y38:$AA38)&gt;5.9,"SI","NO")</f>
        <v>SI</v>
      </c>
      <c r="AC38" s="61">
        <f>SUM('P106'!$Y38:$AA38)</f>
        <v>6</v>
      </c>
      <c r="AD38" s="62">
        <v>1.5</v>
      </c>
      <c r="AE38" s="62">
        <v>4.5</v>
      </c>
      <c r="AF38" s="63" t="str">
        <f>IF('P106'!$AG38&gt;5.9,"SI","NO")</f>
        <v>SI</v>
      </c>
      <c r="AG38" s="64">
        <f>SUM('P106'!$AD38:$AE38)</f>
        <v>6</v>
      </c>
      <c r="AH38" s="65">
        <v>5.0</v>
      </c>
      <c r="AI38" s="65">
        <v>3.0</v>
      </c>
      <c r="AJ38" s="66">
        <f>AVERAGE('P106'!$AH38:$AI38)</f>
        <v>4</v>
      </c>
      <c r="AK38" s="142">
        <v>1.0</v>
      </c>
      <c r="AL38" s="143">
        <v>2.5</v>
      </c>
      <c r="AM38" s="144">
        <v>4.5</v>
      </c>
      <c r="AN38" s="46">
        <f>(('P106'!$AL38+'P106'!$AM38))*'P106'!$AK38</f>
        <v>7</v>
      </c>
      <c r="AO38" s="70">
        <f t="shared" si="6"/>
        <v>9.997428978</v>
      </c>
      <c r="AP38" s="71">
        <f>SUM('P106'!$U38)</f>
        <v>20.91716846</v>
      </c>
      <c r="AQ38" s="71">
        <f>SUM(AN38,AJ38,AG38,AC38,X38,'P106'!$AO38)</f>
        <v>40.32242898</v>
      </c>
      <c r="AR38" s="247">
        <f>'P106'!$AP38+'P106'!$AQ38</f>
        <v>61.23959744</v>
      </c>
    </row>
    <row r="39" ht="14.25" customHeight="1">
      <c r="A39" s="250" t="s">
        <v>618</v>
      </c>
      <c r="B39" s="103">
        <v>2.02411427E8</v>
      </c>
      <c r="C39" s="103" t="s">
        <v>619</v>
      </c>
      <c r="D39" s="251">
        <v>7.0</v>
      </c>
      <c r="E39" s="49"/>
      <c r="F39" s="51">
        <v>0.5</v>
      </c>
      <c r="G39" s="51">
        <v>0.5</v>
      </c>
      <c r="H39" s="51">
        <v>0.5</v>
      </c>
      <c r="I39" s="274">
        <v>1.5</v>
      </c>
      <c r="J39" s="274">
        <v>1.25</v>
      </c>
      <c r="K39" s="274">
        <v>0.0</v>
      </c>
      <c r="L39" s="55">
        <f>SUM('P106'!$I39:$K39)</f>
        <v>2.75</v>
      </c>
      <c r="M39" s="52">
        <v>3.0</v>
      </c>
      <c r="N39" s="53">
        <v>2.0</v>
      </c>
      <c r="O39" s="54">
        <v>5.0</v>
      </c>
      <c r="P39" s="55">
        <f>SUM('P106'!$M39:$O39)</f>
        <v>10</v>
      </c>
      <c r="Q39" s="274">
        <v>2.25</v>
      </c>
      <c r="R39" s="274">
        <v>1.25</v>
      </c>
      <c r="S39" s="277">
        <v>5.0</v>
      </c>
      <c r="T39" s="55">
        <f>SUM('P106'!$Q39:$S39)</f>
        <v>8.5</v>
      </c>
      <c r="U39" s="56">
        <f>('P106'!$L39+'P106'!$P39+'P106'!$T39)*'P106'!$F39</f>
        <v>10.625</v>
      </c>
      <c r="V39" s="274">
        <v>4.65</v>
      </c>
      <c r="W39" s="277">
        <v>10.0</v>
      </c>
      <c r="X39" s="58">
        <f>SUM('P106'!$V39:$W39)*'P106'!$G39</f>
        <v>7.325</v>
      </c>
      <c r="Y39" s="59">
        <v>1.0</v>
      </c>
      <c r="Z39" s="275">
        <v>0.0</v>
      </c>
      <c r="AA39" s="275">
        <v>5.0</v>
      </c>
      <c r="AB39" s="60" t="str">
        <f>IF(SUM('P106'!$Y39:$AA39)&gt;5.9,"SI","NO")</f>
        <v>SI</v>
      </c>
      <c r="AC39" s="61">
        <f>SUM('P106'!$Y39:$AA39)</f>
        <v>6</v>
      </c>
      <c r="AD39" s="62">
        <v>1.5</v>
      </c>
      <c r="AE39" s="62">
        <v>4.5</v>
      </c>
      <c r="AF39" s="63" t="str">
        <f>IF('P106'!$AG39&gt;5.9,"SI","NO")</f>
        <v>SI</v>
      </c>
      <c r="AG39" s="64">
        <f>SUM('P106'!$AD39:$AE39)</f>
        <v>6</v>
      </c>
      <c r="AH39" s="65">
        <v>5.0</v>
      </c>
      <c r="AI39" s="65">
        <v>3.0</v>
      </c>
      <c r="AJ39" s="66">
        <f>AVERAGE('P106'!$AH39:$AI39)</f>
        <v>4</v>
      </c>
      <c r="AK39" s="142">
        <v>1.0</v>
      </c>
      <c r="AL39" s="143">
        <v>0.0</v>
      </c>
      <c r="AM39" s="144">
        <v>0.0</v>
      </c>
      <c r="AN39" s="46">
        <f>(('P106'!$AL39+'P106'!$AM39))*'P106'!$AK39</f>
        <v>0</v>
      </c>
      <c r="AO39" s="70">
        <f t="shared" si="6"/>
        <v>4.5</v>
      </c>
      <c r="AP39" s="71">
        <f>SUM('P106'!$U39)</f>
        <v>10.625</v>
      </c>
      <c r="AQ39" s="71">
        <f>SUM(AN39,AJ39,AG39,AC39,X39,'P106'!$AO39)</f>
        <v>27.825</v>
      </c>
      <c r="AR39" s="247">
        <f>'P106'!$AP39+'P106'!$AQ39</f>
        <v>38.45</v>
      </c>
    </row>
    <row r="40" ht="14.25" customHeight="1">
      <c r="A40" s="250" t="s">
        <v>620</v>
      </c>
      <c r="B40" s="103">
        <v>2.02404711E8</v>
      </c>
      <c r="C40" s="103" t="s">
        <v>621</v>
      </c>
      <c r="D40" s="251">
        <v>5.0</v>
      </c>
      <c r="E40" s="49"/>
      <c r="F40" s="51">
        <v>1.0</v>
      </c>
      <c r="G40" s="51">
        <v>1.0</v>
      </c>
      <c r="H40" s="51">
        <v>1.0</v>
      </c>
      <c r="I40" s="274">
        <v>3.0</v>
      </c>
      <c r="J40" s="274">
        <v>2.0</v>
      </c>
      <c r="K40" s="274">
        <v>4.9</v>
      </c>
      <c r="L40" s="55">
        <f>SUM('P106'!$I40:$K40)</f>
        <v>9.9</v>
      </c>
      <c r="M40" s="52">
        <v>3.0</v>
      </c>
      <c r="N40" s="53">
        <v>2.0</v>
      </c>
      <c r="O40" s="54">
        <v>5.0</v>
      </c>
      <c r="P40" s="55">
        <f>SUM('P106'!$M40:$O40)</f>
        <v>10</v>
      </c>
      <c r="Q40" s="274">
        <v>2.25</v>
      </c>
      <c r="R40" s="274">
        <v>1.5</v>
      </c>
      <c r="S40" s="274">
        <v>4.0</v>
      </c>
      <c r="T40" s="55">
        <f>SUM('P106'!$Q40:$S40)</f>
        <v>7.75</v>
      </c>
      <c r="U40" s="56">
        <f>('P106'!$L40+'P106'!$P40+'P106'!$T40)*'P106'!$F40</f>
        <v>27.65</v>
      </c>
      <c r="V40" s="274">
        <v>3.0</v>
      </c>
      <c r="W40" s="274">
        <v>7.7</v>
      </c>
      <c r="X40" s="58">
        <f>SUM('P106'!$V40:$W40)*'P106'!$G40</f>
        <v>10.7</v>
      </c>
      <c r="Y40" s="59">
        <v>1.0</v>
      </c>
      <c r="Z40" s="275">
        <v>0.0</v>
      </c>
      <c r="AA40" s="275">
        <v>0.0</v>
      </c>
      <c r="AB40" s="60" t="str">
        <f>IF(SUM('P106'!$Y40:$AA40)&gt;5.9,"SI","NO")</f>
        <v>NO</v>
      </c>
      <c r="AC40" s="61">
        <f>SUM('P106'!$Y40:$AA40)</f>
        <v>1</v>
      </c>
      <c r="AD40" s="62">
        <v>1.8</v>
      </c>
      <c r="AE40" s="62">
        <v>6.7</v>
      </c>
      <c r="AF40" s="63" t="str">
        <f>IF('P106'!$AG40&gt;5.9,"SI","NO")</f>
        <v>SI</v>
      </c>
      <c r="AG40" s="64">
        <f>SUM('P106'!$AD40:$AE40)</f>
        <v>8.5</v>
      </c>
      <c r="AH40" s="65">
        <v>3.0</v>
      </c>
      <c r="AI40" s="65">
        <v>2.0</v>
      </c>
      <c r="AJ40" s="66">
        <f>AVERAGE('P106'!$AH40:$AI40)</f>
        <v>2.5</v>
      </c>
      <c r="AK40" s="142">
        <v>1.0</v>
      </c>
      <c r="AL40" s="143">
        <v>0.0</v>
      </c>
      <c r="AM40" s="144">
        <v>0.0</v>
      </c>
      <c r="AN40" s="46">
        <f>(('P106'!$AL40+'P106'!$AM40))*'P106'!$AK40</f>
        <v>0</v>
      </c>
      <c r="AO40" s="70">
        <f t="shared" si="6"/>
        <v>9</v>
      </c>
      <c r="AP40" s="71">
        <f>SUM('P106'!$U40)</f>
        <v>27.65</v>
      </c>
      <c r="AQ40" s="71">
        <f>SUM(AN40,AJ40,AG40,AC40,X40,'P106'!$AO40)</f>
        <v>31.7</v>
      </c>
      <c r="AR40" s="247">
        <f>'P106'!$AP40+'P106'!$AQ40</f>
        <v>59.35</v>
      </c>
    </row>
    <row r="41" ht="14.25" customHeight="1">
      <c r="A41" s="250" t="s">
        <v>622</v>
      </c>
      <c r="B41" s="103">
        <v>2.02410833E8</v>
      </c>
      <c r="C41" s="103" t="s">
        <v>623</v>
      </c>
      <c r="D41" s="251">
        <v>8.0</v>
      </c>
      <c r="E41" s="49"/>
      <c r="F41" s="51">
        <v>1.0</v>
      </c>
      <c r="G41" s="51">
        <v>1.043341212</v>
      </c>
      <c r="H41" s="51">
        <v>1.028689</v>
      </c>
      <c r="I41" s="274">
        <v>2.25</v>
      </c>
      <c r="J41" s="274">
        <v>1.0</v>
      </c>
      <c r="K41" s="274">
        <v>4.9</v>
      </c>
      <c r="L41" s="55">
        <f>SUM('P106'!$I41:$K41)</f>
        <v>8.15</v>
      </c>
      <c r="M41" s="52">
        <v>3.0</v>
      </c>
      <c r="N41" s="53">
        <v>2.0</v>
      </c>
      <c r="O41" s="54">
        <v>5.0</v>
      </c>
      <c r="P41" s="55">
        <f>SUM('P106'!$M41:$O41)</f>
        <v>10</v>
      </c>
      <c r="Q41" s="274">
        <v>1.5</v>
      </c>
      <c r="R41" s="274">
        <v>2.0</v>
      </c>
      <c r="S41" s="277">
        <v>0.0</v>
      </c>
      <c r="T41" s="55">
        <f>SUM('P106'!$Q41:$S41)</f>
        <v>3.5</v>
      </c>
      <c r="U41" s="56">
        <f>('P106'!$L41+'P106'!$P41+'P106'!$T41)*'P106'!$F41</f>
        <v>21.65</v>
      </c>
      <c r="V41" s="274">
        <v>4.15</v>
      </c>
      <c r="W41" s="274">
        <v>6.3</v>
      </c>
      <c r="X41" s="58">
        <f>SUM('P106'!$V41:$W41)*'P106'!$G41</f>
        <v>10.90291567</v>
      </c>
      <c r="Y41" s="59">
        <v>1.0</v>
      </c>
      <c r="Z41" s="275">
        <v>1.5</v>
      </c>
      <c r="AA41" s="275">
        <v>3.75</v>
      </c>
      <c r="AB41" s="60" t="str">
        <f>IF(SUM('P106'!$Y41:$AA41)&gt;5.9,"SI","NO")</f>
        <v>SI</v>
      </c>
      <c r="AC41" s="61">
        <f>SUM('P106'!$Y41:$AA41)</f>
        <v>6.25</v>
      </c>
      <c r="AD41" s="62">
        <v>2.0</v>
      </c>
      <c r="AE41" s="62">
        <v>4.5</v>
      </c>
      <c r="AF41" s="63" t="str">
        <f>IF('P106'!$AG41&gt;5.9,"SI","NO")</f>
        <v>SI</v>
      </c>
      <c r="AG41" s="64">
        <f>SUM('P106'!$AD41:$AE41)</f>
        <v>6.5</v>
      </c>
      <c r="AH41" s="65">
        <v>4.0</v>
      </c>
      <c r="AI41" s="65">
        <v>5.0</v>
      </c>
      <c r="AJ41" s="66">
        <f>AVERAGE('P106'!$AH41:$AI41)</f>
        <v>4.5</v>
      </c>
      <c r="AK41" s="142">
        <v>1.0</v>
      </c>
      <c r="AL41" s="143">
        <v>7.0</v>
      </c>
      <c r="AM41" s="144">
        <v>9.0</v>
      </c>
      <c r="AN41" s="46">
        <f>(('P106'!$AL41+'P106'!$AM41))*'P106'!$AK41</f>
        <v>16</v>
      </c>
      <c r="AO41" s="70">
        <f t="shared" si="6"/>
        <v>9.258201</v>
      </c>
      <c r="AP41" s="71">
        <f>SUM('P106'!$U41)</f>
        <v>21.65</v>
      </c>
      <c r="AQ41" s="71">
        <f>SUM(AN41,AJ41,AG41,AC41,X41,'P106'!$AO41)</f>
        <v>53.41111667</v>
      </c>
      <c r="AR41" s="247">
        <f>'P106'!$AP41+'P106'!$AQ41</f>
        <v>75.06111667</v>
      </c>
    </row>
    <row r="42" ht="14.25" customHeight="1">
      <c r="A42" s="250" t="s">
        <v>624</v>
      </c>
      <c r="B42" s="103">
        <v>2.02502746E8</v>
      </c>
      <c r="C42" s="103" t="s">
        <v>625</v>
      </c>
      <c r="D42" s="251">
        <v>6.0</v>
      </c>
      <c r="E42" s="49"/>
      <c r="F42" s="51">
        <v>1.0</v>
      </c>
      <c r="G42" s="51">
        <v>1.0</v>
      </c>
      <c r="H42" s="51">
        <v>1.0</v>
      </c>
      <c r="I42" s="274">
        <v>3.0</v>
      </c>
      <c r="J42" s="274">
        <v>2.0</v>
      </c>
      <c r="K42" s="274">
        <v>4.9</v>
      </c>
      <c r="L42" s="55">
        <f>SUM('P106'!$I42:$K42)</f>
        <v>9.9</v>
      </c>
      <c r="M42" s="52">
        <v>3.0</v>
      </c>
      <c r="N42" s="53">
        <v>2.0</v>
      </c>
      <c r="O42" s="54">
        <v>5.0</v>
      </c>
      <c r="P42" s="55">
        <f>SUM('P106'!$M42:$O42)</f>
        <v>10</v>
      </c>
      <c r="Q42" s="274">
        <v>3.0</v>
      </c>
      <c r="R42" s="274">
        <v>2.0</v>
      </c>
      <c r="S42" s="274">
        <v>4.4</v>
      </c>
      <c r="T42" s="55">
        <f>SUM('P106'!$Q42:$S42)</f>
        <v>9.4</v>
      </c>
      <c r="U42" s="56">
        <f>('P106'!$L42+'P106'!$P42+'P106'!$T42)*'P106'!$F42</f>
        <v>29.3</v>
      </c>
      <c r="V42" s="274">
        <v>4.8</v>
      </c>
      <c r="W42" s="274">
        <v>6.4</v>
      </c>
      <c r="X42" s="58">
        <f>SUM('P106'!$V42:$W42)*'P106'!$G42</f>
        <v>11.2</v>
      </c>
      <c r="Y42" s="59">
        <v>2.0</v>
      </c>
      <c r="Z42" s="275">
        <v>3.0</v>
      </c>
      <c r="AA42" s="275">
        <v>5.0</v>
      </c>
      <c r="AB42" s="60" t="str">
        <f>IF(SUM('P106'!$Y42:$AA42)&gt;5.9,"SI","NO")</f>
        <v>SI</v>
      </c>
      <c r="AC42" s="61">
        <f>SUM('P106'!$Y42:$AA42)</f>
        <v>10</v>
      </c>
      <c r="AD42" s="62">
        <v>0.75</v>
      </c>
      <c r="AE42" s="62">
        <v>6.0</v>
      </c>
      <c r="AF42" s="63" t="str">
        <f>IF('P106'!$AG42&gt;5.9,"SI","NO")</f>
        <v>SI</v>
      </c>
      <c r="AG42" s="64">
        <f>SUM('P106'!$AD42:$AE42)</f>
        <v>6.75</v>
      </c>
      <c r="AH42" s="65">
        <v>3.0</v>
      </c>
      <c r="AI42" s="65">
        <v>3.0</v>
      </c>
      <c r="AJ42" s="66">
        <f>AVERAGE('P106'!$AH42:$AI42)</f>
        <v>3</v>
      </c>
      <c r="AK42" s="142">
        <v>1.0</v>
      </c>
      <c r="AL42" s="143">
        <v>10.0</v>
      </c>
      <c r="AM42" s="144">
        <v>10.0</v>
      </c>
      <c r="AN42" s="46">
        <f>(('P106'!$AL42+'P106'!$AM42))*'P106'!$AK42</f>
        <v>20</v>
      </c>
      <c r="AO42" s="70">
        <f t="shared" si="6"/>
        <v>9</v>
      </c>
      <c r="AP42" s="71">
        <f>SUM('P106'!$U42)</f>
        <v>29.3</v>
      </c>
      <c r="AQ42" s="71">
        <f>SUM(AN42,AJ42,AG42,AC42,X42,'P106'!$AO42)</f>
        <v>59.95</v>
      </c>
      <c r="AR42" s="247">
        <f>'P106'!$AP42+'P106'!$AQ42</f>
        <v>89.25</v>
      </c>
    </row>
    <row r="43" ht="14.25" customHeight="1">
      <c r="A43" s="250" t="s">
        <v>626</v>
      </c>
      <c r="B43" s="103">
        <v>2.02304457E8</v>
      </c>
      <c r="C43" s="103" t="s">
        <v>627</v>
      </c>
      <c r="D43" s="251">
        <v>1.0</v>
      </c>
      <c r="E43" s="49"/>
      <c r="F43" s="51">
        <v>1.0</v>
      </c>
      <c r="G43" s="51">
        <v>1.018853416</v>
      </c>
      <c r="H43" s="51">
        <v>1.001760255</v>
      </c>
      <c r="I43" s="274">
        <v>2.25</v>
      </c>
      <c r="J43" s="274">
        <v>2.0</v>
      </c>
      <c r="K43" s="274">
        <v>4.45</v>
      </c>
      <c r="L43" s="55">
        <f>SUM('P106'!$I43:$K43)</f>
        <v>8.7</v>
      </c>
      <c r="M43" s="52">
        <v>2.25</v>
      </c>
      <c r="N43" s="53">
        <v>2.0</v>
      </c>
      <c r="O43" s="54">
        <v>0.0</v>
      </c>
      <c r="P43" s="55">
        <f>SUM('P106'!$M43:$O43)</f>
        <v>4.25</v>
      </c>
      <c r="Q43" s="274">
        <v>2.25</v>
      </c>
      <c r="R43" s="274">
        <v>2.0</v>
      </c>
      <c r="S43" s="274">
        <v>0.0</v>
      </c>
      <c r="T43" s="55">
        <f>SUM('P106'!$Q43:$S43)</f>
        <v>4.25</v>
      </c>
      <c r="U43" s="56">
        <f>('P106'!$L43+'P106'!$P43+'P106'!$T43)*'P106'!$F43</f>
        <v>17.2</v>
      </c>
      <c r="V43" s="276">
        <v>2.05</v>
      </c>
      <c r="W43" s="274">
        <v>7.3</v>
      </c>
      <c r="X43" s="58">
        <f>SUM('P106'!$V43:$W43)*'P106'!$G43</f>
        <v>9.52627944</v>
      </c>
      <c r="Y43" s="59">
        <v>0.0</v>
      </c>
      <c r="Z43" s="275">
        <v>0.0</v>
      </c>
      <c r="AA43" s="275">
        <v>3.75</v>
      </c>
      <c r="AB43" s="60" t="str">
        <f>IF(SUM('P106'!$Y43:$AA43)&gt;5.9,"SI","NO")</f>
        <v>NO</v>
      </c>
      <c r="AC43" s="61">
        <f>SUM('P106'!$Y43:$AA43)</f>
        <v>3.75</v>
      </c>
      <c r="AD43" s="62">
        <v>1.3</v>
      </c>
      <c r="AE43" s="62">
        <v>4.2</v>
      </c>
      <c r="AF43" s="63" t="str">
        <f>IF('P106'!$AG43&gt;5.9,"SI","NO")</f>
        <v>NO</v>
      </c>
      <c r="AG43" s="64">
        <f>SUM('P106'!$AD43:$AE43)</f>
        <v>5.5</v>
      </c>
      <c r="AH43" s="65">
        <v>2.5</v>
      </c>
      <c r="AI43" s="65">
        <v>2.5</v>
      </c>
      <c r="AJ43" s="66">
        <f>AVERAGE('P106'!$AH43:$AI43)</f>
        <v>2.5</v>
      </c>
      <c r="AK43" s="142">
        <v>0.0</v>
      </c>
      <c r="AL43" s="143">
        <v>0.0</v>
      </c>
      <c r="AM43" s="144">
        <v>0.0</v>
      </c>
      <c r="AN43" s="46">
        <f>(('P106'!$AL43+'P106'!$AM43))*'P106'!$AK43</f>
        <v>0</v>
      </c>
      <c r="AO43" s="70">
        <f t="shared" si="6"/>
        <v>9.015842295</v>
      </c>
      <c r="AP43" s="71">
        <f>SUM('P106'!$U43)</f>
        <v>17.2</v>
      </c>
      <c r="AQ43" s="71">
        <f>SUM(AN43,AJ43,AG43,AC43,X43,'P106'!$AO43)</f>
        <v>30.29212173</v>
      </c>
      <c r="AR43" s="247">
        <f>'P106'!$AP43+'P106'!$AQ43</f>
        <v>47.49212173</v>
      </c>
    </row>
    <row r="44" ht="14.25" customHeight="1">
      <c r="A44" s="250" t="s">
        <v>628</v>
      </c>
      <c r="B44" s="103">
        <v>2.02500211E8</v>
      </c>
      <c r="C44" s="103" t="s">
        <v>629</v>
      </c>
      <c r="D44" s="251">
        <v>4.0</v>
      </c>
      <c r="E44" s="49"/>
      <c r="F44" s="51">
        <v>0.974354704</v>
      </c>
      <c r="G44" s="51">
        <v>1.039475096</v>
      </c>
      <c r="H44" s="51">
        <v>1.006219518</v>
      </c>
      <c r="I44" s="274">
        <v>2.25</v>
      </c>
      <c r="J44" s="274">
        <v>2.0</v>
      </c>
      <c r="K44" s="274">
        <v>4.6</v>
      </c>
      <c r="L44" s="55">
        <f>SUM('P106'!$I44:$K44)</f>
        <v>8.85</v>
      </c>
      <c r="M44" s="52">
        <v>3.0</v>
      </c>
      <c r="N44" s="53">
        <v>2.0</v>
      </c>
      <c r="O44" s="54">
        <v>5.0</v>
      </c>
      <c r="P44" s="55">
        <f>SUM('P106'!$M44:$O44)</f>
        <v>10</v>
      </c>
      <c r="Q44" s="274">
        <v>2.25</v>
      </c>
      <c r="R44" s="274">
        <v>2.0</v>
      </c>
      <c r="S44" s="274">
        <v>4.9</v>
      </c>
      <c r="T44" s="55">
        <f>SUM('P106'!$Q44:$S44)</f>
        <v>9.15</v>
      </c>
      <c r="U44" s="56">
        <f>('P106'!$L44+'P106'!$P44+'P106'!$T44)*'P106'!$F44</f>
        <v>27.28193171</v>
      </c>
      <c r="V44" s="274">
        <v>2.6</v>
      </c>
      <c r="W44" s="274">
        <v>5.4</v>
      </c>
      <c r="X44" s="58">
        <f>SUM('P106'!$V44:$W44)*'P106'!$G44</f>
        <v>8.315800768</v>
      </c>
      <c r="Y44" s="59">
        <v>1.5</v>
      </c>
      <c r="Z44" s="275">
        <v>0.0</v>
      </c>
      <c r="AA44" s="275">
        <v>0.0</v>
      </c>
      <c r="AB44" s="60" t="str">
        <f>IF(SUM('P106'!$Y44:$AA44)&gt;5.9,"SI","NO")</f>
        <v>NO</v>
      </c>
      <c r="AC44" s="61">
        <f>SUM('P106'!$Y44:$AA44)</f>
        <v>1.5</v>
      </c>
      <c r="AD44" s="62">
        <v>1.0</v>
      </c>
      <c r="AE44" s="62">
        <v>6.0</v>
      </c>
      <c r="AF44" s="63" t="str">
        <f>IF('P106'!$AG44&gt;5.9,"SI","NO")</f>
        <v>SI</v>
      </c>
      <c r="AG44" s="64">
        <f>SUM('P106'!$AD44:$AE44)</f>
        <v>7</v>
      </c>
      <c r="AH44" s="65">
        <v>3.5</v>
      </c>
      <c r="AI44" s="65">
        <v>3.0</v>
      </c>
      <c r="AJ44" s="66">
        <f>AVERAGE('P106'!$AH44:$AI44)</f>
        <v>3.25</v>
      </c>
      <c r="AK44" s="142">
        <v>1.0</v>
      </c>
      <c r="AL44" s="143">
        <v>0.0</v>
      </c>
      <c r="AM44" s="143">
        <v>0.0</v>
      </c>
      <c r="AN44" s="46">
        <f>(('P106'!$AL44+'P106'!$AM44))*'P106'!$AK44</f>
        <v>0</v>
      </c>
      <c r="AO44" s="70">
        <f>10*H44</f>
        <v>10.06219518</v>
      </c>
      <c r="AP44" s="71">
        <f>SUM('P106'!$U44)</f>
        <v>27.28193171</v>
      </c>
      <c r="AQ44" s="71">
        <f>SUM(AN44,AJ44,AG44,AC44,X44,'P106'!$AO44)</f>
        <v>30.12799595</v>
      </c>
      <c r="AR44" s="247">
        <f>'P106'!$AP44+'P106'!$AQ44</f>
        <v>57.40992766</v>
      </c>
    </row>
    <row r="45" ht="14.25" customHeight="1">
      <c r="A45" s="250" t="s">
        <v>630</v>
      </c>
      <c r="B45" s="103">
        <v>2.02508198E8</v>
      </c>
      <c r="C45" s="103" t="s">
        <v>631</v>
      </c>
      <c r="D45" s="251">
        <v>8.0</v>
      </c>
      <c r="E45" s="49"/>
      <c r="F45" s="51">
        <v>1.029977558</v>
      </c>
      <c r="G45" s="51">
        <v>1.02099727</v>
      </c>
      <c r="H45" s="51">
        <v>1.020080572</v>
      </c>
      <c r="I45" s="274">
        <v>2.25</v>
      </c>
      <c r="J45" s="274">
        <v>1.0</v>
      </c>
      <c r="K45" s="274">
        <v>4.9</v>
      </c>
      <c r="L45" s="55">
        <f>SUM('P106'!$I45:$K45)</f>
        <v>8.15</v>
      </c>
      <c r="M45" s="52">
        <v>3.0</v>
      </c>
      <c r="N45" s="53">
        <v>2.0</v>
      </c>
      <c r="O45" s="54">
        <v>5.0</v>
      </c>
      <c r="P45" s="55">
        <f>SUM('P106'!$M45:$O45)</f>
        <v>10</v>
      </c>
      <c r="Q45" s="274">
        <v>1.5</v>
      </c>
      <c r="R45" s="274">
        <v>2.0</v>
      </c>
      <c r="S45" s="277">
        <v>0.0</v>
      </c>
      <c r="T45" s="55">
        <f>SUM('P106'!$Q45:$S45)</f>
        <v>3.5</v>
      </c>
      <c r="U45" s="56">
        <f>('P106'!$L45+'P106'!$P45+'P106'!$T45)*'P106'!$F45</f>
        <v>22.29901413</v>
      </c>
      <c r="V45" s="274">
        <v>4.15</v>
      </c>
      <c r="W45" s="274">
        <v>6.3</v>
      </c>
      <c r="X45" s="58">
        <f>SUM('P106'!$V45:$W45)*'P106'!$G45</f>
        <v>10.66942147</v>
      </c>
      <c r="Y45" s="59">
        <v>1.0</v>
      </c>
      <c r="Z45" s="275">
        <v>0.0</v>
      </c>
      <c r="AA45" s="275">
        <v>3.75</v>
      </c>
      <c r="AB45" s="60" t="str">
        <f>IF(SUM('P106'!$Y45:$AA45)&gt;5.9,"SI","NO")</f>
        <v>NO</v>
      </c>
      <c r="AC45" s="61">
        <f>SUM('P106'!$Y45:$AA45)</f>
        <v>4.75</v>
      </c>
      <c r="AD45" s="62">
        <v>2.0</v>
      </c>
      <c r="AE45" s="62">
        <v>4.5</v>
      </c>
      <c r="AF45" s="63" t="str">
        <f>IF('P106'!$AG45&gt;5.9,"SI","NO")</f>
        <v>SI</v>
      </c>
      <c r="AG45" s="64">
        <f>SUM('P106'!$AD45:$AE45)</f>
        <v>6.5</v>
      </c>
      <c r="AH45" s="65">
        <v>4.0</v>
      </c>
      <c r="AI45" s="65">
        <v>5.0</v>
      </c>
      <c r="AJ45" s="66">
        <f>AVERAGE('P106'!$AH45:$AI45)</f>
        <v>4.5</v>
      </c>
      <c r="AK45" s="142">
        <v>1.0</v>
      </c>
      <c r="AL45" s="143">
        <v>7.0</v>
      </c>
      <c r="AM45" s="144">
        <v>9.0</v>
      </c>
      <c r="AN45" s="46">
        <f>(('P106'!$AL45+'P106'!$AM45))*'P106'!$AK45</f>
        <v>16</v>
      </c>
      <c r="AO45" s="70">
        <f>9*H45</f>
        <v>9.180725148</v>
      </c>
      <c r="AP45" s="71">
        <f>SUM('P106'!$U45)</f>
        <v>22.29901413</v>
      </c>
      <c r="AQ45" s="71">
        <f>SUM(AN45,AJ45,AG45,AC45,X45,'P106'!$AO45)</f>
        <v>51.60014662</v>
      </c>
      <c r="AR45" s="247">
        <f>'P106'!$AP45+'P106'!$AQ45</f>
        <v>73.89916075</v>
      </c>
    </row>
    <row r="46" ht="14.25" customHeight="1">
      <c r="A46" s="250" t="s">
        <v>632</v>
      </c>
      <c r="B46" s="267">
        <v>2.02503264E8</v>
      </c>
      <c r="C46" s="103" t="s">
        <v>633</v>
      </c>
      <c r="D46" s="268">
        <v>2.0</v>
      </c>
      <c r="E46" s="83"/>
      <c r="F46" s="51">
        <v>0.557566883</v>
      </c>
      <c r="G46" s="51">
        <v>0.745355992</v>
      </c>
      <c r="H46" s="51">
        <v>1.095445115</v>
      </c>
      <c r="I46" s="274">
        <v>3.0</v>
      </c>
      <c r="J46" s="274">
        <v>2.0</v>
      </c>
      <c r="K46" s="274">
        <v>5.0</v>
      </c>
      <c r="L46" s="55">
        <f>SUM('P106'!$I46:$K46)</f>
        <v>10</v>
      </c>
      <c r="M46" s="52">
        <v>3.0</v>
      </c>
      <c r="N46" s="53">
        <v>2.0</v>
      </c>
      <c r="O46" s="54">
        <v>5.0</v>
      </c>
      <c r="P46" s="55">
        <f>SUM('P106'!$M46:$O46)</f>
        <v>10</v>
      </c>
      <c r="Q46" s="274">
        <v>1.88</v>
      </c>
      <c r="R46" s="274">
        <v>1.5</v>
      </c>
      <c r="S46" s="274">
        <v>5.0</v>
      </c>
      <c r="T46" s="55">
        <f>SUM('P106'!$Q46:$S46)</f>
        <v>8.38</v>
      </c>
      <c r="U46" s="56">
        <f>('P106'!$L46+'P106'!$P46+'P106'!$T46)*'P106'!$F46</f>
        <v>15.82374814</v>
      </c>
      <c r="V46" s="274">
        <v>2.8</v>
      </c>
      <c r="W46" s="274">
        <v>9.4</v>
      </c>
      <c r="X46" s="58">
        <f>SUM('P106'!$V46:$W46)*'P106'!$G46</f>
        <v>9.093343102</v>
      </c>
      <c r="Y46" s="59">
        <v>0.0</v>
      </c>
      <c r="Z46" s="275">
        <v>1.5</v>
      </c>
      <c r="AA46" s="275">
        <v>1.25</v>
      </c>
      <c r="AB46" s="60" t="str">
        <f>IF(SUM('P106'!$Y46:$AA46)&gt;5.9,"SI","NO")</f>
        <v>NO</v>
      </c>
      <c r="AC46" s="61">
        <f>SUM('P106'!$Y46:$AA46)</f>
        <v>2.75</v>
      </c>
      <c r="AD46" s="62">
        <v>1.5</v>
      </c>
      <c r="AE46" s="62">
        <v>7.5</v>
      </c>
      <c r="AF46" s="63" t="str">
        <f>IF('P106'!$AG46&gt;5.9,"SI","NO")</f>
        <v>SI</v>
      </c>
      <c r="AG46" s="64">
        <f>SUM('P106'!$AD46:$AE46)</f>
        <v>9</v>
      </c>
      <c r="AH46" s="65">
        <v>5.0</v>
      </c>
      <c r="AI46" s="65">
        <v>4.5</v>
      </c>
      <c r="AJ46" s="66">
        <f>AVERAGE('P106'!$AH46:$AI46)</f>
        <v>4.75</v>
      </c>
      <c r="AK46" s="142">
        <v>1.0</v>
      </c>
      <c r="AL46" s="143">
        <v>0.0</v>
      </c>
      <c r="AM46" s="144">
        <v>0.0</v>
      </c>
      <c r="AN46" s="46">
        <f>(('P106'!$AL46+'P106'!$AM46))*'P106'!$AK46</f>
        <v>0</v>
      </c>
      <c r="AO46" s="70">
        <f>0*H46</f>
        <v>0</v>
      </c>
      <c r="AP46" s="71">
        <f>SUM('P106'!$U46)</f>
        <v>15.82374814</v>
      </c>
      <c r="AQ46" s="71">
        <f>SUM(AN46,AJ46,AG46,AC46,X46,'P106'!$AO46)</f>
        <v>25.5933431</v>
      </c>
      <c r="AR46" s="247">
        <f>'P106'!$AP46+'P106'!$AQ46</f>
        <v>41.41709124</v>
      </c>
    </row>
    <row r="47" ht="14.25" customHeight="1">
      <c r="A47" s="250" t="s">
        <v>634</v>
      </c>
      <c r="B47" s="267">
        <v>2.02508636E8</v>
      </c>
      <c r="C47" s="103" t="s">
        <v>635</v>
      </c>
      <c r="D47" s="268">
        <v>9.0</v>
      </c>
      <c r="E47" s="83"/>
      <c r="F47" s="51">
        <v>1.0</v>
      </c>
      <c r="G47" s="51">
        <v>1.000848536</v>
      </c>
      <c r="H47" s="51">
        <v>1.019906756</v>
      </c>
      <c r="I47" s="274">
        <v>1.5</v>
      </c>
      <c r="J47" s="274">
        <v>0.75</v>
      </c>
      <c r="K47" s="276">
        <v>4.1</v>
      </c>
      <c r="L47" s="55">
        <f>SUM('P106'!$I47:$K47)</f>
        <v>6.35</v>
      </c>
      <c r="M47" s="52">
        <v>3.0</v>
      </c>
      <c r="N47" s="53">
        <v>2.0</v>
      </c>
      <c r="O47" s="54">
        <v>5.0</v>
      </c>
      <c r="P47" s="55">
        <f>SUM('P106'!$M47:$O47)</f>
        <v>10</v>
      </c>
      <c r="Q47" s="274">
        <v>2.25</v>
      </c>
      <c r="R47" s="274">
        <v>1.5</v>
      </c>
      <c r="S47" s="277">
        <v>5.0</v>
      </c>
      <c r="T47" s="55">
        <f>SUM('P106'!$Q47:$S47)</f>
        <v>8.75</v>
      </c>
      <c r="U47" s="56">
        <f>('P106'!$L47+'P106'!$P47+'P106'!$T47)*'P106'!$F47</f>
        <v>25.1</v>
      </c>
      <c r="V47" s="274">
        <v>5.0</v>
      </c>
      <c r="W47" s="274">
        <v>7.3</v>
      </c>
      <c r="X47" s="58">
        <f>SUM('P106'!$V47:$W47)*'P106'!$G47</f>
        <v>12.31043699</v>
      </c>
      <c r="Y47" s="59">
        <v>2.0</v>
      </c>
      <c r="Z47" s="275">
        <v>1.5</v>
      </c>
      <c r="AA47" s="275">
        <v>2.5</v>
      </c>
      <c r="AB47" s="60" t="str">
        <f>IF(SUM('P106'!$Y47:$AA47)&gt;5.9,"SI","NO")</f>
        <v>SI</v>
      </c>
      <c r="AC47" s="61">
        <f>SUM('P106'!$Y47:$AA47)</f>
        <v>6</v>
      </c>
      <c r="AD47" s="62">
        <v>2.0</v>
      </c>
      <c r="AE47" s="62">
        <v>6.0</v>
      </c>
      <c r="AF47" s="63" t="str">
        <f>IF('P106'!$AG47&gt;5.9,"SI","NO")</f>
        <v>SI</v>
      </c>
      <c r="AG47" s="64">
        <f>SUM('P106'!$AD47:$AE47)</f>
        <v>8</v>
      </c>
      <c r="AH47" s="65">
        <v>4.5</v>
      </c>
      <c r="AI47" s="65">
        <v>4.25</v>
      </c>
      <c r="AJ47" s="66">
        <f>AVERAGE('P106'!$AH47:$AI47)</f>
        <v>4.375</v>
      </c>
      <c r="AK47" s="142">
        <v>1.0</v>
      </c>
      <c r="AL47" s="143">
        <v>7.5</v>
      </c>
      <c r="AM47" s="144">
        <v>9.0</v>
      </c>
      <c r="AN47" s="46">
        <f>(('P106'!$AL47+'P106'!$AM47))*'P106'!$AK47</f>
        <v>16.5</v>
      </c>
      <c r="AO47" s="70">
        <f t="shared" ref="AO47:AO51" si="7">9*H47</f>
        <v>9.179160804</v>
      </c>
      <c r="AP47" s="71">
        <f>SUM('P106'!$U47)</f>
        <v>25.1</v>
      </c>
      <c r="AQ47" s="71">
        <f>SUM(AN47,AJ47,AG47,AC47,X47,'P106'!$AO47)</f>
        <v>56.3645978</v>
      </c>
      <c r="AR47" s="247">
        <f>'P106'!$AP47+'P106'!$AQ47</f>
        <v>81.4645978</v>
      </c>
    </row>
    <row r="48" ht="14.25" customHeight="1">
      <c r="A48" s="250" t="s">
        <v>636</v>
      </c>
      <c r="B48" s="267">
        <v>2.02506978E8</v>
      </c>
      <c r="C48" s="103" t="s">
        <v>637</v>
      </c>
      <c r="D48" s="268">
        <v>9.0</v>
      </c>
      <c r="E48" s="83"/>
      <c r="F48" s="51">
        <v>1.0</v>
      </c>
      <c r="G48" s="51">
        <v>1.009294665</v>
      </c>
      <c r="H48" s="51">
        <v>1.024183113</v>
      </c>
      <c r="I48" s="274">
        <v>3.0</v>
      </c>
      <c r="J48" s="274">
        <v>0.75</v>
      </c>
      <c r="K48" s="276">
        <v>4.1</v>
      </c>
      <c r="L48" s="55">
        <f>SUM('P106'!$I48:$K48)</f>
        <v>7.85</v>
      </c>
      <c r="M48" s="52">
        <v>3.0</v>
      </c>
      <c r="N48" s="53">
        <v>2.0</v>
      </c>
      <c r="O48" s="54">
        <v>5.0</v>
      </c>
      <c r="P48" s="55">
        <f>SUM('P106'!$M48:$O48)</f>
        <v>10</v>
      </c>
      <c r="Q48" s="274">
        <v>2.25</v>
      </c>
      <c r="R48" s="274">
        <v>1.5</v>
      </c>
      <c r="S48" s="277">
        <v>5.0</v>
      </c>
      <c r="T48" s="55">
        <f>SUM('P106'!$Q48:$S48)</f>
        <v>8.75</v>
      </c>
      <c r="U48" s="56">
        <f>('P106'!$L48+'P106'!$P48+'P106'!$T48)*'P106'!$F48</f>
        <v>26.6</v>
      </c>
      <c r="V48" s="274">
        <v>5.0</v>
      </c>
      <c r="W48" s="274">
        <v>7.3</v>
      </c>
      <c r="X48" s="58">
        <f>SUM('P106'!$V48:$W48)*'P106'!$G48</f>
        <v>12.41432438</v>
      </c>
      <c r="Y48" s="59">
        <v>2.0</v>
      </c>
      <c r="Z48" s="275">
        <v>1.5</v>
      </c>
      <c r="AA48" s="275">
        <v>2.5</v>
      </c>
      <c r="AB48" s="60" t="str">
        <f>IF(SUM('P106'!$Y48:$AA48)&gt;5.9,"SI","NO")</f>
        <v>SI</v>
      </c>
      <c r="AC48" s="61">
        <f>SUM('P106'!$Y48:$AA48)</f>
        <v>6</v>
      </c>
      <c r="AD48" s="62">
        <v>2.0</v>
      </c>
      <c r="AE48" s="62">
        <v>6.0</v>
      </c>
      <c r="AF48" s="63" t="str">
        <f>IF('P106'!$AG48&gt;5.9,"SI","NO")</f>
        <v>SI</v>
      </c>
      <c r="AG48" s="64">
        <f>SUM('P106'!$AD48:$AE48)</f>
        <v>8</v>
      </c>
      <c r="AH48" s="65">
        <v>4.5</v>
      </c>
      <c r="AI48" s="65">
        <v>4.25</v>
      </c>
      <c r="AJ48" s="66">
        <f>AVERAGE('P106'!$AH48:$AI48)</f>
        <v>4.375</v>
      </c>
      <c r="AK48" s="142">
        <v>1.0</v>
      </c>
      <c r="AL48" s="143">
        <v>8.5</v>
      </c>
      <c r="AM48" s="144">
        <v>10.0</v>
      </c>
      <c r="AN48" s="46">
        <f>(('P106'!$AL48+'P106'!$AM48))*'P106'!$AK48</f>
        <v>18.5</v>
      </c>
      <c r="AO48" s="70">
        <f t="shared" si="7"/>
        <v>9.217648017</v>
      </c>
      <c r="AP48" s="71">
        <f>SUM('P106'!$U48)</f>
        <v>26.6</v>
      </c>
      <c r="AQ48" s="71">
        <f>SUM(AN48,AJ48,AG48,AC48,X48,'P106'!$AO48)</f>
        <v>58.5069724</v>
      </c>
      <c r="AR48" s="247">
        <f>'P106'!$AP48+'P106'!$AQ48</f>
        <v>85.1069724</v>
      </c>
    </row>
    <row r="49" ht="14.25" customHeight="1">
      <c r="A49" s="250" t="s">
        <v>638</v>
      </c>
      <c r="B49" s="267">
        <v>2.02209185E8</v>
      </c>
      <c r="C49" s="103" t="s">
        <v>639</v>
      </c>
      <c r="D49" s="268">
        <v>10.0</v>
      </c>
      <c r="E49" s="83"/>
      <c r="F49" s="51">
        <v>0.5</v>
      </c>
      <c r="G49" s="51">
        <v>1.032795559</v>
      </c>
      <c r="H49" s="51">
        <v>0.5</v>
      </c>
      <c r="I49" s="274">
        <v>0.75</v>
      </c>
      <c r="J49" s="274">
        <v>1.25</v>
      </c>
      <c r="K49" s="277">
        <v>0.0</v>
      </c>
      <c r="L49" s="55">
        <f>SUM('P106'!$I49:$K49)</f>
        <v>2</v>
      </c>
      <c r="M49" s="52">
        <v>0.0</v>
      </c>
      <c r="N49" s="53">
        <v>0.0</v>
      </c>
      <c r="O49" s="54">
        <v>0.0</v>
      </c>
      <c r="P49" s="55">
        <f>SUM('P106'!$M49:$O49)</f>
        <v>0</v>
      </c>
      <c r="Q49" s="274">
        <v>1.88</v>
      </c>
      <c r="R49" s="274">
        <v>2.0</v>
      </c>
      <c r="S49" s="277">
        <v>0.0</v>
      </c>
      <c r="T49" s="55">
        <f>SUM('P106'!$Q49:$S49)</f>
        <v>3.88</v>
      </c>
      <c r="U49" s="56">
        <f>('P106'!$L49+'P106'!$P49+'P106'!$T49)*'P106'!$F49</f>
        <v>2.94</v>
      </c>
      <c r="V49" s="274">
        <v>4.55</v>
      </c>
      <c r="W49" s="274">
        <v>10.0</v>
      </c>
      <c r="X49" s="58">
        <f>SUM('P106'!$V49:$W49)*'P106'!$G49</f>
        <v>15.02717538</v>
      </c>
      <c r="Y49" s="59">
        <v>0.0</v>
      </c>
      <c r="Z49" s="275">
        <v>0.0</v>
      </c>
      <c r="AA49" s="275">
        <v>0.0</v>
      </c>
      <c r="AB49" s="60" t="str">
        <f>IF(SUM('P106'!$Y49:$AA49)&gt;5.9,"SI","NO")</f>
        <v>NO</v>
      </c>
      <c r="AC49" s="61">
        <f>SUM('P106'!$Y49:$AA49)</f>
        <v>0</v>
      </c>
      <c r="AD49" s="62">
        <v>2.0</v>
      </c>
      <c r="AE49" s="62">
        <v>4.0</v>
      </c>
      <c r="AF49" s="63" t="str">
        <f>IF('P106'!$AG49&gt;5.9,"SI","NO")</f>
        <v>SI</v>
      </c>
      <c r="AG49" s="64">
        <f>SUM('P106'!$AD49:$AE49)</f>
        <v>6</v>
      </c>
      <c r="AH49" s="65">
        <v>4.0</v>
      </c>
      <c r="AI49" s="65">
        <v>4.0</v>
      </c>
      <c r="AJ49" s="66">
        <f>AVERAGE('P106'!$AH49:$AI49)</f>
        <v>4</v>
      </c>
      <c r="AK49" s="142">
        <v>1.0</v>
      </c>
      <c r="AL49" s="143">
        <v>0.0</v>
      </c>
      <c r="AM49" s="144">
        <v>0.0</v>
      </c>
      <c r="AN49" s="46">
        <f>(('P106'!$AL49+'P106'!$AM49))*'P106'!$AK49</f>
        <v>0</v>
      </c>
      <c r="AO49" s="70">
        <f t="shared" si="7"/>
        <v>4.5</v>
      </c>
      <c r="AP49" s="71">
        <f>SUM('P106'!$U49)</f>
        <v>2.94</v>
      </c>
      <c r="AQ49" s="71">
        <f>SUM(AN49,AJ49,AG49,AC49,X49,'P106'!$AO49)</f>
        <v>29.52717538</v>
      </c>
      <c r="AR49" s="247">
        <f>'P106'!$AP49+'P106'!$AQ49</f>
        <v>32.46717538</v>
      </c>
    </row>
    <row r="50" ht="14.25" customHeight="1">
      <c r="A50" s="250" t="s">
        <v>640</v>
      </c>
      <c r="B50" s="267">
        <v>2.0240792E8</v>
      </c>
      <c r="C50" s="103" t="s">
        <v>641</v>
      </c>
      <c r="D50" s="268">
        <v>3.0</v>
      </c>
      <c r="E50" s="83"/>
      <c r="F50" s="51">
        <v>1.0</v>
      </c>
      <c r="G50" s="51">
        <v>1.0</v>
      </c>
      <c r="H50" s="51">
        <v>0.5</v>
      </c>
      <c r="I50" s="274">
        <v>3.0</v>
      </c>
      <c r="J50" s="274">
        <v>2.0</v>
      </c>
      <c r="K50" s="274">
        <v>5.0</v>
      </c>
      <c r="L50" s="55">
        <f>SUM('P106'!$I50:$K50)</f>
        <v>10</v>
      </c>
      <c r="M50" s="52">
        <v>2.25</v>
      </c>
      <c r="N50" s="53">
        <v>2.0</v>
      </c>
      <c r="O50" s="54">
        <v>0.0</v>
      </c>
      <c r="P50" s="55">
        <f>SUM('P106'!$M50:$O50)</f>
        <v>4.25</v>
      </c>
      <c r="Q50" s="274">
        <v>2.25</v>
      </c>
      <c r="R50" s="274">
        <v>2.0</v>
      </c>
      <c r="S50" s="274">
        <v>0.0</v>
      </c>
      <c r="T50" s="55">
        <f>SUM('P106'!$Q50:$S50)</f>
        <v>4.25</v>
      </c>
      <c r="U50" s="56">
        <f>('P106'!$L50+'P106'!$P50+'P106'!$T50)*'P106'!$F50</f>
        <v>18.5</v>
      </c>
      <c r="V50" s="274">
        <v>2.95</v>
      </c>
      <c r="W50" s="274">
        <v>9.1</v>
      </c>
      <c r="X50" s="58">
        <f>SUM('P106'!$V50:$W50)*'P106'!$G50</f>
        <v>12.05</v>
      </c>
      <c r="Y50" s="59">
        <v>1.5</v>
      </c>
      <c r="Z50" s="275">
        <v>1.5</v>
      </c>
      <c r="AA50" s="275">
        <v>1.25</v>
      </c>
      <c r="AB50" s="60" t="str">
        <f>IF(SUM('P106'!$Y50:$AA50)&gt;5.9,"SI","NO")</f>
        <v>NO</v>
      </c>
      <c r="AC50" s="61">
        <f>SUM('P106'!$Y50:$AA50)</f>
        <v>4.25</v>
      </c>
      <c r="AD50" s="62">
        <v>1.9</v>
      </c>
      <c r="AE50" s="62">
        <v>0.0</v>
      </c>
      <c r="AF50" s="63" t="str">
        <f>IF('P106'!$AG50&gt;5.9,"SI","NO")</f>
        <v>NO</v>
      </c>
      <c r="AG50" s="64">
        <f>SUM('P106'!$AD50:$AE50)</f>
        <v>1.9</v>
      </c>
      <c r="AH50" s="65">
        <v>2.5</v>
      </c>
      <c r="AI50" s="65">
        <v>2.5</v>
      </c>
      <c r="AJ50" s="66">
        <f>AVERAGE('P106'!$AH50:$AI50)</f>
        <v>2.5</v>
      </c>
      <c r="AK50" s="142">
        <v>0.0</v>
      </c>
      <c r="AL50" s="143">
        <v>0.0</v>
      </c>
      <c r="AM50" s="144">
        <v>0.0</v>
      </c>
      <c r="AN50" s="46">
        <f>(('P106'!$AL50+'P106'!$AM50))*'P106'!$AK50</f>
        <v>0</v>
      </c>
      <c r="AO50" s="70">
        <f t="shared" si="7"/>
        <v>4.5</v>
      </c>
      <c r="AP50" s="71">
        <f>SUM('P106'!$U50)</f>
        <v>18.5</v>
      </c>
      <c r="AQ50" s="71">
        <f>SUM(AN50,AJ50,AG50,AC50,X50,'P106'!$AO50)</f>
        <v>25.2</v>
      </c>
      <c r="AR50" s="247">
        <f>'P106'!$AP50+'P106'!$AQ50</f>
        <v>43.7</v>
      </c>
    </row>
    <row r="51" ht="14.25" customHeight="1">
      <c r="A51" s="250" t="s">
        <v>642</v>
      </c>
      <c r="B51" s="267">
        <v>2.02410973E8</v>
      </c>
      <c r="C51" s="103" t="s">
        <v>643</v>
      </c>
      <c r="D51" s="268">
        <v>1.0</v>
      </c>
      <c r="E51" s="83"/>
      <c r="F51" s="51">
        <v>1.0</v>
      </c>
      <c r="G51" s="51">
        <v>0.993055472</v>
      </c>
      <c r="H51" s="51">
        <v>0.99611649</v>
      </c>
      <c r="I51" s="274">
        <v>2.25</v>
      </c>
      <c r="J51" s="274">
        <v>2.0</v>
      </c>
      <c r="K51" s="274">
        <v>4.45</v>
      </c>
      <c r="L51" s="55">
        <f>SUM('P106'!$I51:$K51)</f>
        <v>8.7</v>
      </c>
      <c r="M51" s="52">
        <v>3.0</v>
      </c>
      <c r="N51" s="53">
        <v>2.0</v>
      </c>
      <c r="O51" s="54">
        <v>5.0</v>
      </c>
      <c r="P51" s="55">
        <f>SUM('P106'!$M51:$O51)</f>
        <v>10</v>
      </c>
      <c r="Q51" s="274">
        <v>2.25</v>
      </c>
      <c r="R51" s="274">
        <v>2.0</v>
      </c>
      <c r="S51" s="274">
        <v>5.0</v>
      </c>
      <c r="T51" s="55">
        <f>SUM('P106'!$Q51:$S51)</f>
        <v>9.25</v>
      </c>
      <c r="U51" s="56">
        <f>('P106'!$L51+'P106'!$P51+'P106'!$T51)*'P106'!$F51</f>
        <v>27.95</v>
      </c>
      <c r="V51" s="276">
        <v>2.05</v>
      </c>
      <c r="W51" s="274">
        <v>7.3</v>
      </c>
      <c r="X51" s="58">
        <f>SUM('P106'!$V51:$W51)*'P106'!$G51</f>
        <v>9.285068663</v>
      </c>
      <c r="Y51" s="59">
        <v>1.0</v>
      </c>
      <c r="Z51" s="275">
        <v>1.5</v>
      </c>
      <c r="AA51" s="275">
        <v>0.0</v>
      </c>
      <c r="AB51" s="60" t="str">
        <f>IF(SUM('P106'!$Y51:$AA51)&gt;5.9,"SI","NO")</f>
        <v>NO</v>
      </c>
      <c r="AC51" s="61">
        <f>SUM('P106'!$Y51:$AA51)</f>
        <v>2.5</v>
      </c>
      <c r="AD51" s="62">
        <v>1.3</v>
      </c>
      <c r="AE51" s="62">
        <v>4.2</v>
      </c>
      <c r="AF51" s="63" t="str">
        <f>IF('P106'!$AG51&gt;5.9,"SI","NO")</f>
        <v>NO</v>
      </c>
      <c r="AG51" s="64">
        <f>SUM('P106'!$AD51:$AE51)</f>
        <v>5.5</v>
      </c>
      <c r="AH51" s="65">
        <v>2.5</v>
      </c>
      <c r="AI51" s="65">
        <v>2.5</v>
      </c>
      <c r="AJ51" s="66">
        <f>AVERAGE('P106'!$AH51:$AI51)</f>
        <v>2.5</v>
      </c>
      <c r="AK51" s="142">
        <v>0.0</v>
      </c>
      <c r="AL51" s="143">
        <v>0.0</v>
      </c>
      <c r="AM51" s="144">
        <v>0.0</v>
      </c>
      <c r="AN51" s="46">
        <f>(('P106'!$AL51+'P106'!$AM51))*'P106'!$AK51</f>
        <v>0</v>
      </c>
      <c r="AO51" s="70">
        <f t="shared" si="7"/>
        <v>8.96504841</v>
      </c>
      <c r="AP51" s="71">
        <f>SUM('P106'!$U51)</f>
        <v>27.95</v>
      </c>
      <c r="AQ51" s="71">
        <f>SUM(AN51,AJ51,AG51,AC51,X51,'P106'!$AO51)</f>
        <v>28.75011707</v>
      </c>
      <c r="AR51" s="247">
        <f>'P106'!$AP51+'P106'!$AQ51</f>
        <v>56.70011707</v>
      </c>
    </row>
    <row r="52" ht="14.25" customHeight="1">
      <c r="A52" s="108"/>
      <c r="B52" s="108"/>
      <c r="C52" s="108"/>
      <c r="D52" s="269"/>
      <c r="E52" s="106"/>
      <c r="F52" s="270"/>
      <c r="G52" s="106"/>
      <c r="H52" s="106"/>
      <c r="I52" s="159"/>
      <c r="J52" s="109"/>
      <c r="K52" s="163"/>
      <c r="L52" s="110"/>
      <c r="M52" s="161"/>
      <c r="N52" s="162"/>
      <c r="O52" s="163"/>
      <c r="P52" s="110"/>
      <c r="Q52" s="161"/>
      <c r="R52" s="162"/>
      <c r="S52" s="163"/>
      <c r="T52" s="110"/>
      <c r="U52" s="111"/>
      <c r="V52" s="165"/>
      <c r="W52" s="165"/>
      <c r="X52" s="114"/>
      <c r="Y52" s="166"/>
      <c r="Z52" s="166"/>
      <c r="AA52" s="166"/>
      <c r="AB52" s="115">
        <f>COUNTIF(AB4:AB51,"SI")</f>
        <v>25</v>
      </c>
      <c r="AC52" s="116"/>
      <c r="AD52" s="117"/>
      <c r="AE52" s="117"/>
      <c r="AF52" s="117"/>
      <c r="AG52" s="118"/>
      <c r="AH52" s="119"/>
      <c r="AI52" s="119"/>
      <c r="AJ52" s="120"/>
      <c r="AK52" s="168"/>
      <c r="AL52" s="169"/>
      <c r="AM52" s="170"/>
      <c r="AN52" s="121"/>
      <c r="AO52" s="122"/>
      <c r="AP52" s="107"/>
      <c r="AQ52" s="107"/>
      <c r="AR52" s="171"/>
    </row>
    <row r="53" ht="14.25" customHeight="1">
      <c r="A53" s="108"/>
      <c r="B53" s="108"/>
      <c r="C53" s="108"/>
      <c r="D53" s="269"/>
      <c r="E53" s="106"/>
      <c r="F53" s="270"/>
      <c r="G53" s="106"/>
      <c r="H53" s="106"/>
      <c r="I53" s="159"/>
      <c r="J53" s="109"/>
      <c r="K53" s="163"/>
      <c r="L53" s="110"/>
      <c r="M53" s="161"/>
      <c r="N53" s="162"/>
      <c r="O53" s="163"/>
      <c r="P53" s="110"/>
      <c r="Q53" s="161"/>
      <c r="R53" s="162"/>
      <c r="S53" s="163"/>
      <c r="T53" s="110"/>
      <c r="U53" s="111"/>
      <c r="V53" s="165"/>
      <c r="W53" s="165"/>
      <c r="X53" s="114"/>
      <c r="Y53" s="166"/>
      <c r="Z53" s="166"/>
      <c r="AA53" s="272" t="s">
        <v>546</v>
      </c>
      <c r="AB53" s="115">
        <f>AB52*100/37</f>
        <v>67.56756757</v>
      </c>
      <c r="AC53" s="116"/>
      <c r="AD53" s="117"/>
      <c r="AE53" s="117"/>
      <c r="AF53" s="117"/>
      <c r="AG53" s="118"/>
      <c r="AH53" s="119"/>
      <c r="AI53" s="119"/>
      <c r="AJ53" s="120"/>
      <c r="AK53" s="168"/>
      <c r="AL53" s="169"/>
      <c r="AM53" s="170"/>
      <c r="AN53" s="121"/>
      <c r="AO53" s="122"/>
      <c r="AP53" s="107"/>
      <c r="AQ53" s="107"/>
      <c r="AR53" s="172">
        <f>AVERAGE(AR4:AR51)</f>
        <v>64.60413081</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customSheetViews>
    <customSheetView guid="{41EAD126-16FB-4A8D-894A-CEA6439A4201}" filter="1" showAutoFilter="1">
      <autoFilter ref="$A$2:$AR$53"/>
    </customSheetView>
  </customSheetViews>
  <mergeCells count="9">
    <mergeCell ref="AK1:AN1"/>
    <mergeCell ref="AP1:AR1"/>
    <mergeCell ref="D1:E1"/>
    <mergeCell ref="F1:H1"/>
    <mergeCell ref="I1:U1"/>
    <mergeCell ref="V1:X1"/>
    <mergeCell ref="Y1:AC1"/>
    <mergeCell ref="AD1:AG1"/>
    <mergeCell ref="AH1:AJ1"/>
  </mergeCells>
  <conditionalFormatting sqref="AB3:AB51">
    <cfRule type="containsText" dxfId="4" priority="1" operator="containsText" text="SI">
      <formula>NOT(ISERROR(SEARCH(("SI"),(AB3))))</formula>
    </cfRule>
  </conditionalFormatting>
  <conditionalFormatting sqref="AB3:AB51">
    <cfRule type="containsText" dxfId="5" priority="2" operator="containsText" text="NO">
      <formula>NOT(ISERROR(SEARCH(("NO"),(AB3))))</formula>
    </cfRule>
  </conditionalFormatting>
  <conditionalFormatting sqref="AF3:AF51">
    <cfRule type="containsText" dxfId="4" priority="3" operator="containsText" text="SI">
      <formula>NOT(ISERROR(SEARCH(("SI"),(AF3))))</formula>
    </cfRule>
  </conditionalFormatting>
  <conditionalFormatting sqref="AF3:AF51">
    <cfRule type="containsText" dxfId="5" priority="4" operator="containsText" text="NO">
      <formula>NOT(ISERROR(SEARCH(("NO"),(AF3))))</formula>
    </cfRule>
  </conditionalFormatting>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